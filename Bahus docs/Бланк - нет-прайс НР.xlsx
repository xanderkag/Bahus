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imple.ru\Profile\UsersOD4\kvstarkina\Desktop\"/>
    </mc:Choice>
  </mc:AlternateContent>
  <xr:revisionPtr revIDLastSave="0" documentId="13_ncr:1_{EDC3E647-003F-4371-91F1-8EB5ABDD968E}" xr6:coauthVersionLast="36" xr6:coauthVersionMax="36" xr10:uidLastSave="{00000000-0000-0000-0000-000000000000}"/>
  <bookViews>
    <workbookView xWindow="0" yWindow="0" windowWidth="28800" windowHeight="12040" xr2:uid="{5939EAE3-481B-4654-AD71-458475DC53BA}"/>
  </bookViews>
  <sheets>
    <sheet name="ФЕВРАЛЬ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key2" localSheetId="0" hidden="1">#REF!</definedName>
    <definedName name="__key2" hidden="1">#REF!</definedName>
    <definedName name="_ess1" localSheetId="0">#REF!</definedName>
    <definedName name="_ess1">#REF!</definedName>
    <definedName name="_ess2" localSheetId="0">#REF!</definedName>
    <definedName name="_ess2">#REF!</definedName>
    <definedName name="_ess3" localSheetId="0">#REF!</definedName>
    <definedName name="_ess3">#REF!</definedName>
    <definedName name="_ess4" localSheetId="0">#REF!</definedName>
    <definedName name="_ess4">#REF!</definedName>
    <definedName name="_ess5" localSheetId="0">#REF!</definedName>
    <definedName name="_ess5">#REF!</definedName>
    <definedName name="_ess6" localSheetId="0">#REF!</definedName>
    <definedName name="_ess6">#REF!</definedName>
    <definedName name="_ess7" localSheetId="0">#REF!</definedName>
    <definedName name="_ess7">#REF!</definedName>
    <definedName name="_ess8" localSheetId="0">#REF!</definedName>
    <definedName name="_ess8">#REF!</definedName>
    <definedName name="_ess9" localSheetId="0">#REF!</definedName>
    <definedName name="_ess9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[1]OB97LST!#REF!</definedName>
    <definedName name="_Sort" hidden="1">[1]OB97LST!#REF!</definedName>
    <definedName name="_xlnm._FilterDatabase" localSheetId="0" hidden="1">ФЕВРАЛЬ!$A$5:$L$51</definedName>
    <definedName name="aa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aaaaa" localSheetId="0">[2]Маркетинг!$W$13</definedName>
    <definedName name="aaaaaaaa">[2]Маркетинг!$W$13</definedName>
    <definedName name="abc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ccessDatabase" hidden="1">"C:\My Documents\Xls\Account97.mdb"</definedName>
    <definedName name="Account">'[3]vv Accounts'!$A$2:$A$53</definedName>
    <definedName name="Agr_temp" localSheetId="0" hidden="1">{"Supporting Schedules",#N/A,FALSE,"Results"}</definedName>
    <definedName name="Agr_temp" hidden="1">{"Supporting Schedules",#N/A,FALSE,"Results"}</definedName>
    <definedName name="a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aseline" localSheetId="0">#REF!</definedName>
    <definedName name="Baseline">#REF!</definedName>
    <definedName name="bbb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p_name" localSheetId="0">#REF!</definedName>
    <definedName name="bp_name">#REF!</definedName>
    <definedName name="Brand" localSheetId="0">#REF!</definedName>
    <definedName name="Brand">#REF!</definedName>
    <definedName name="Brand_Polsegment" localSheetId="0">#REF!</definedName>
    <definedName name="Brand_Polsegment">#REF!</definedName>
    <definedName name="Brand_Segment" localSheetId="0">#REF!</definedName>
    <definedName name="Brand_Segment">#REF!</definedName>
    <definedName name="CAPEX98" hidden="1">[4]FINALPHP!$G$27</definedName>
    <definedName name="ccc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losing_stock_2007" localSheetId="0">#REF!</definedName>
    <definedName name="Closing_stock_2007">#REF!</definedName>
    <definedName name="Closing_stock_2008" localSheetId="0">[5]Distributors!$E$52:$P$52</definedName>
    <definedName name="Closing_stock_2008">[5]Distributors!$E$52:$P$52</definedName>
    <definedName name="Closing_stock_2009" localSheetId="0">[5]Distributors!$E$33:$P$33</definedName>
    <definedName name="Closing_stock_2009">[5]Distributors!$E$33:$P$33</definedName>
    <definedName name="Closing_stock_2010" localSheetId="0">[5]Distributors!$E$16:$P$16</definedName>
    <definedName name="Closing_stock_2010">[5]Distributors!$E$16:$P$16</definedName>
    <definedName name="CN" localSheetId="0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ons_temp" localSheetId="0" hidden="1">{"Supporting Schedules",#N/A,FALSE,"Results"}</definedName>
    <definedName name="Cons_temp" hidden="1">{"Supporting Schedules",#N/A,FALSE,"Results"}</definedName>
    <definedName name="d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ddddd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gds" localSheetId="0" hidden="1">{"FCF",#N/A,FALSE,"Results"}</definedName>
    <definedName name="dgds" hidden="1">{"FCF",#N/A,FALSE,"Results"}</definedName>
    <definedName name="div">'[6]CNTRY TOTAL by months'!$B$20</definedName>
    <definedName name="DSI_Bel_NovRE" localSheetId="0">'[7]1Qtr'!#REF!</definedName>
    <definedName name="DSI_Bel_NovRE">'[7]1Qtr'!#REF!</definedName>
    <definedName name="essA" localSheetId="0">#REF!</definedName>
    <definedName name="essA">#REF!</definedName>
    <definedName name="essB" localSheetId="0">#REF!</definedName>
    <definedName name="essB">#REF!</definedName>
    <definedName name="essC" localSheetId="0">#REF!</definedName>
    <definedName name="essC">#REF!</definedName>
    <definedName name="EURValue" localSheetId="0">[2]Маркетинг!$B$4</definedName>
    <definedName name="EURValue">[2]Маркетинг!$B$4</definedName>
    <definedName name="Excel_BuiltIn__FilterDatabase_1" localSheetId="0">#REF!</definedName>
    <definedName name="Excel_BuiltIn__FilterDatabase_1">#REF!</definedName>
    <definedName name="Excel_BuiltIn__FilterDatabase_1_1" localSheetId="0">#REF!</definedName>
    <definedName name="Excel_BuiltIn__FilterDatabase_1_1">#REF!</definedName>
    <definedName name="Flowchart2" localSheetId="0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or_write" localSheetId="0">[8]Master_file!#REF!</definedName>
    <definedName name="for_write">[8]Master_file!#REF!</definedName>
    <definedName name="haya" localSheetId="0" hidden="1">#REF!</definedName>
    <definedName name="haya" hidden="1">#REF!</definedName>
    <definedName name="ILT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S_2007" localSheetId="0">#REF!</definedName>
    <definedName name="IMS_2007">#REF!</definedName>
    <definedName name="IMS_2008" localSheetId="0">#REF!</definedName>
    <definedName name="IMS_2008">#REF!</definedName>
    <definedName name="IMS_2009" localSheetId="0">[5]Distributors!$E$26:$P$26</definedName>
    <definedName name="IMS_2009">[5]Distributors!$E$26:$P$26</definedName>
    <definedName name="IMS_2010" localSheetId="0">[5]Distributors!$E$9:$P$9</definedName>
    <definedName name="IMS_2010">[5]Distributors!$E$9:$P$9</definedName>
    <definedName name="IMSformul" localSheetId="0">[5]Distributors!$AB$45</definedName>
    <definedName name="IMSformul">[5]Distributors!$AB$45</definedName>
    <definedName name="mm" localSheetId="0">#REF!</definedName>
    <definedName name="mm">#REF!</definedName>
    <definedName name="new" localSheetId="0" hidden="1">#REF!</definedName>
    <definedName name="new" hidden="1">#REF!</definedName>
    <definedName name="NextYearFactFillRange">'[9]UC&amp;OI Overview'!$X$50:$X$52</definedName>
    <definedName name="NextYearFactOutput">'[9]UC&amp;OI Overview'!$AA$50</definedName>
    <definedName name="notcovered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d" localSheetId="0" hidden="1">#REF!</definedName>
    <definedName name="od" hidden="1">#REF!</definedName>
    <definedName name="OverViewBusinessOutput" localSheetId="0">[10]Walkthrough!#REF!</definedName>
    <definedName name="OverViewBusinessOutput">[10]Walkthrough!#REF!</definedName>
    <definedName name="OverViewMonth" localSheetId="0">[10]Walkthrough!#REF!</definedName>
    <definedName name="OverViewMonth">[10]Walkthrough!#REF!</definedName>
    <definedName name="OVerViewMonths" localSheetId="0">[10]Walkthrough!#REF!</definedName>
    <definedName name="OVerViewMonths">[10]Walkthrough!#REF!</definedName>
    <definedName name="OverviewnextYear" localSheetId="0">[10]Walkthrough!#REF!</definedName>
    <definedName name="OverviewnextYear">[10]Walkthrough!#REF!</definedName>
    <definedName name="OverviewPeriodReported" localSheetId="0">[10]Walkthrough!#REF!</definedName>
    <definedName name="OverviewPeriodReported">[10]Walkthrough!#REF!</definedName>
    <definedName name="OverviewPeriodReportedOutput" localSheetId="0">[10]Walkthrough!#REF!</definedName>
    <definedName name="OverviewPeriodReportedOutput">[10]Walkthrough!#REF!</definedName>
    <definedName name="OverviewPreviousScenario" localSheetId="0">[10]Walkthrough!#REF!</definedName>
    <definedName name="OverviewPreviousScenario">[10]Walkthrough!#REF!</definedName>
    <definedName name="OverViewQuarter" localSheetId="0">[10]Walkthrough!#REF!</definedName>
    <definedName name="OverViewQuarter">[10]Walkthrough!#REF!</definedName>
    <definedName name="OverviewQuarterQualified" localSheetId="0">[10]Walkthrough!#REF!</definedName>
    <definedName name="OverviewQuarterQualified">[10]Walkthrough!#REF!</definedName>
    <definedName name="OverViewQuarters" localSheetId="0">[10]Walkthrough!#REF!</definedName>
    <definedName name="OverViewQuarters">[10]Walkthrough!#REF!</definedName>
    <definedName name="OverviewSecondPeriodReportedOutput" localSheetId="0">[10]Walkthrough!#REF!</definedName>
    <definedName name="OverviewSecondPeriodReportedOutput">[10]Walkthrough!#REF!</definedName>
    <definedName name="OverViewSecondYear" localSheetId="0">[10]Walkthrough!#REF!</definedName>
    <definedName name="OverViewSecondYear">[10]Walkthrough!#REF!</definedName>
    <definedName name="OverviewYear" localSheetId="0">[10]Walkthrough!#REF!</definedName>
    <definedName name="OverviewYear">[10]Walkthrough!#REF!</definedName>
    <definedName name="po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e_name" localSheetId="0">#REF!</definedName>
    <definedName name="pre_name">#REF!</definedName>
    <definedName name="Prices" localSheetId="0" hidden="1">{"Supporting Schedules",#N/A,FALSE,"Results"}</definedName>
    <definedName name="Prices" hidden="1">{"Supporting Schedules",#N/A,FALSE,"Results"}</definedName>
    <definedName name="Product_brands" localSheetId="0">#REF!</definedName>
    <definedName name="Product_brands">#REF!</definedName>
    <definedName name="Product_hierarchy" localSheetId="0">#REF!</definedName>
    <definedName name="Product_hierarchy">#REF!</definedName>
    <definedName name="ProductList" localSheetId="0">#REF!</definedName>
    <definedName name="ProductList">#REF!</definedName>
    <definedName name="Products" localSheetId="0">#REF!</definedName>
    <definedName name="Products">#REF!</definedName>
    <definedName name="projout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qq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" localSheetId="0">[2]Маркетинг!$V$13</definedName>
    <definedName name="qqqqqq">[2]Маркетинг!$V$13</definedName>
    <definedName name="re_name" localSheetId="0">#REF!</definedName>
    <definedName name="re_name">#REF!</definedName>
    <definedName name="sa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alesIN_2007" localSheetId="0">#REF!</definedName>
    <definedName name="SalesIN_2007">#REF!</definedName>
    <definedName name="SalesIN_2008" localSheetId="0">#REF!</definedName>
    <definedName name="SalesIN_2008">#REF!</definedName>
    <definedName name="SalesIN_2009" localSheetId="0">[5]Distributors!$E$30:$P$30</definedName>
    <definedName name="SalesIN_2009">[5]Distributors!$E$30:$P$30</definedName>
    <definedName name="SalesIN_2010" localSheetId="0">[5]Distributors!$E$13:$P$13</definedName>
    <definedName name="SalesIN_2010">[5]Distributors!$E$13:$P$13</definedName>
    <definedName name="SalesIN_CR" localSheetId="0">[5]Distributors!$D$47</definedName>
    <definedName name="SalesIN_CR">[5]Distributors!$D$47</definedName>
    <definedName name="SalesIN_CR_08" localSheetId="0">[5]Distributors!$E$47:$P$47</definedName>
    <definedName name="SalesIN_CR_08">[5]Distributors!$E$47:$P$47</definedName>
    <definedName name="SalesIN_CR_09" localSheetId="0">[5]Distributors!$E$28:$P$28</definedName>
    <definedName name="SalesIN_CR_09">[5]Distributors!$E$28:$P$28</definedName>
    <definedName name="SalesIN_CR_10" localSheetId="0">[5]Distributors!$E$11:$P$11</definedName>
    <definedName name="SalesIN_CR_10">[5]Distributors!$E$11:$P$11</definedName>
    <definedName name="SalesIN_NPD_08" localSheetId="0">[5]Distributors!$E$48:$P$48</definedName>
    <definedName name="SalesIN_NPD_08">[5]Distributors!$E$48:$P$48</definedName>
    <definedName name="SalesIN_NPD_09" localSheetId="0">[5]Distributors!$E$29:$P$29</definedName>
    <definedName name="SalesIN_NPD_09">[5]Distributors!$E$29:$P$29</definedName>
    <definedName name="SalesIN_NPD_10" localSheetId="0">[5]Distributors!$E$12:$P$12</definedName>
    <definedName name="SalesIN_NPD_10">[5]Distributors!$E$12:$P$12</definedName>
    <definedName name="SalesINformul" localSheetId="0">[5]Distributors!$AB$49</definedName>
    <definedName name="SalesINformul">[5]Distributors!$AB$49</definedName>
    <definedName name="Scenarios" localSheetId="0">[5]Master_file!$O$2:$O$7</definedName>
    <definedName name="Scenarios">[5]Master_file!$O$2:$O$7</definedName>
    <definedName name="sdsdf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gment" localSheetId="0">#REF!</definedName>
    <definedName name="Segment">#REF!</definedName>
    <definedName name="sgm_list" localSheetId="0">[5]Master_file!$A$2:$A$67</definedName>
    <definedName name="sgm_list">[5]Master_file!$A$2:$A$67</definedName>
    <definedName name="sheet1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heet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р" hidden="1">3</definedName>
    <definedName name="sss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emp" localSheetId="0" hidden="1">{"Supporting Schedules",#N/A,FALSE,"Results"}</definedName>
    <definedName name="temp" hidden="1">{"Supporting Schedules",#N/A,FALSE,"Results"}</definedName>
    <definedName name="USDValue" localSheetId="0">[2]Маркетинг!$B$3</definedName>
    <definedName name="USDValue">[2]Маркетинг!$B$3</definedName>
    <definedName name="w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stek." localSheetId="0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capital._.schedules." localSheetId="0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Print_All." localSheetId="0" hidden="1">{"Summary",#N/A,FALSE,"Valuation Summary";"Financial Statements",#N/A,FALSE,"Results";"FCF",#N/A,FALSE,"Results"}</definedName>
    <definedName name="wrn.Print_All." hidden="1">{"Summary",#N/A,FALSE,"Valuation Summary";"Financial Statements",#N/A,FALSE,"Results";"FCF",#N/A,FALSE,"Results"}</definedName>
    <definedName name="wrn.Print_All_S2" localSheetId="0" hidden="1">{"Summary",#N/A,FALSE,"Valuation Summary";"Financial Statements",#N/A,FALSE,"Results";"FCF",#N/A,FALSE,"Results"}</definedName>
    <definedName name="wrn.Print_All_S2" hidden="1">{"Summary",#N/A,FALSE,"Valuation Summary";"Financial Statements",#N/A,FALSE,"Results";"FCF",#N/A,FALSE,"Results"}</definedName>
    <definedName name="wrn.Print_FCF." localSheetId="0" hidden="1">{"FCF",#N/A,FALSE,"Results"}</definedName>
    <definedName name="wrn.Print_FCF." hidden="1">{"FCF",#N/A,FALSE,"Results"}</definedName>
    <definedName name="wrn.Print_FCF_S2" localSheetId="0" hidden="1">{"FCF",#N/A,FALSE,"Results"}</definedName>
    <definedName name="wrn.Print_FCF_S2" hidden="1">{"FCF",#N/A,FALSE,"Results"}</definedName>
    <definedName name="wrn.Print_Financials." localSheetId="0" hidden="1">{"Financial Statements",#N/A,FALSE,"Results"}</definedName>
    <definedName name="wrn.Print_Financials." hidden="1">{"Financial Statements",#N/A,FALSE,"Results"}</definedName>
    <definedName name="wrn.Print_Financials_S2" localSheetId="0" hidden="1">{"Financial Statements",#N/A,FALSE,"Results"}</definedName>
    <definedName name="wrn.Print_Financials_S2" hidden="1">{"Financial Statements",#N/A,FALSE,"Results"}</definedName>
    <definedName name="wrn.Print_Summary." localSheetId="0" hidden="1">{"Summary",#N/A,FALSE,"Valuation Summary"}</definedName>
    <definedName name="wrn.Print_Summary." hidden="1">{"Summary",#N/A,FALSE,"Valuation Summary"}</definedName>
    <definedName name="wrn.Print_Summary_S2" localSheetId="0" hidden="1">{"Summary",#N/A,FALSE,"Valuation Summary"}</definedName>
    <definedName name="wrn.Print_Summary_S2" hidden="1">{"Summary",#N/A,FALSE,"Valuation Summary"}</definedName>
    <definedName name="xsds" localSheetId="0" hidden="1">{"Summary",#N/A,FALSE,"Valuation Summary";"Financial Statements",#N/A,FALSE,"Results";"FCF",#N/A,FALSE,"Results"}</definedName>
    <definedName name="xsds" hidden="1">{"Summary",#N/A,FALSE,"Valuation Summary";"Financial Statements",#N/A,FALSE,"Results";"FCF",#N/A,FALSE,"Results"}</definedName>
    <definedName name="y" localSheetId="0" hidden="1">{#N/A,#N/A,TRUE,"Пресса";#N/A,#N/A,TRUE,"Метро";#N/A,#N/A,TRUE,"Щиты";#N/A,#N/A,TRUE,"График";#N/A,#N/A,TRUE,"График"}</definedName>
    <definedName name="y" hidden="1">{#N/A,#N/A,TRUE,"Пресса";#N/A,#N/A,TRUE,"Метро";#N/A,#N/A,TRUE,"Щиты";#N/A,#N/A,TRUE,"График";#N/A,#N/A,TRUE,"График"}</definedName>
    <definedName name="yy" localSheetId="0">#REF!</definedName>
    <definedName name="yy">#REF!</definedName>
    <definedName name="виды_промо_регионы" localSheetId="0">#REF!</definedName>
    <definedName name="виды_промо_регионы">#REF!</definedName>
    <definedName name="Вино" localSheetId="0">#REF!</definedName>
    <definedName name="Вино">#REF!</definedName>
    <definedName name="география">'[11]инфо для списков'!$G$2:$G$13</definedName>
    <definedName name="год" localSheetId="0">'[11]инфо для списков'!#REF!</definedName>
    <definedName name="год">'[11]инфо для списков'!#REF!</definedName>
    <definedName name="дивизион" localSheetId="0">#REF!</definedName>
    <definedName name="дивизион">#REF!</definedName>
    <definedName name="ДМ11_1_EUR" localSheetId="0">[2]Маркетинг!$E$9</definedName>
    <definedName name="ДМ11_1_EUR">[2]Маркетинг!$E$9</definedName>
    <definedName name="ДМ11_1_USD" localSheetId="0">[2]Маркетинг!$D$9</definedName>
    <definedName name="ДМ11_1_USD">[2]Маркетинг!$D$9</definedName>
    <definedName name="ДМ11_1_РУБ" localSheetId="0">[2]Маркетинг!$C$9</definedName>
    <definedName name="ДМ11_1_РУБ">[2]Маркетинг!$C$9</definedName>
    <definedName name="ДМ11_2_EUR" localSheetId="0">[2]Маркетинг!$K$9</definedName>
    <definedName name="ДМ11_2_EUR">[2]Маркетинг!$K$9</definedName>
    <definedName name="ДМ11_2_USD" localSheetId="0">[2]Маркетинг!$J$9</definedName>
    <definedName name="ДМ11_2_USD">[2]Маркетинг!$J$9</definedName>
    <definedName name="ДМ11_2_РУБ" localSheetId="0">[2]Маркетинг!$I$9</definedName>
    <definedName name="ДМ11_2_РУБ">[2]Маркетинг!$I$9</definedName>
    <definedName name="ДМ11_3_EUR" localSheetId="0">[2]Маркетинг!$O$9</definedName>
    <definedName name="ДМ11_3_EUR">[2]Маркетинг!$O$9</definedName>
    <definedName name="ДМ11_3_USD" localSheetId="0">[2]Маркетинг!$N$9</definedName>
    <definedName name="ДМ11_3_USD">[2]Маркетинг!$N$9</definedName>
    <definedName name="ДМ11_3_РУБ" localSheetId="0">[2]Маркетинг!$M$9</definedName>
    <definedName name="ДМ11_3_РУБ">[2]Маркетинг!$M$9</definedName>
    <definedName name="ДМ11_4_EUR" localSheetId="0">[2]Маркетинг!$S$9</definedName>
    <definedName name="ДМ11_4_EUR">[2]Маркетинг!$S$9</definedName>
    <definedName name="ДМ11_4_USD" localSheetId="0">[2]Маркетинг!$R$9</definedName>
    <definedName name="ДМ11_4_USD">[2]Маркетинг!$R$9</definedName>
    <definedName name="ДМ11_4_РУБ" localSheetId="0">[2]Маркетинг!$Q$9</definedName>
    <definedName name="ДМ11_4_РУБ">[2]Маркетинг!$Q$9</definedName>
    <definedName name="ДМ11_5_EUR" localSheetId="0">[2]Маркетинг!$W$9</definedName>
    <definedName name="ДМ11_5_EUR">[2]Маркетинг!$W$9</definedName>
    <definedName name="ДМ11_5_USD" localSheetId="0">[2]Маркетинг!$V$9</definedName>
    <definedName name="ДМ11_5_USD">[2]Маркетинг!$V$9</definedName>
    <definedName name="ДМ11_5_РУБ" localSheetId="0">[2]Маркетинг!$U$9</definedName>
    <definedName name="ДМ11_5_РУБ">[2]Маркетинг!$U$9</definedName>
    <definedName name="ДМ12_1_EUR" localSheetId="0">[2]Маркетинг!$E$12</definedName>
    <definedName name="ДМ12_1_EUR">[2]Маркетинг!$E$12</definedName>
    <definedName name="ДМ12_1_USD" localSheetId="0">[2]Маркетинг!$D$12</definedName>
    <definedName name="ДМ12_1_USD">[2]Маркетинг!$D$12</definedName>
    <definedName name="ДМ12_1_РУБ" localSheetId="0">[2]Маркетинг!$C$12</definedName>
    <definedName name="ДМ12_1_РУБ">[2]Маркетинг!$C$12</definedName>
    <definedName name="ДМ12_2_EUR" localSheetId="0">[2]Маркетинг!$K$12</definedName>
    <definedName name="ДМ12_2_EUR">[2]Маркетинг!$K$12</definedName>
    <definedName name="ДМ12_2_USD" localSheetId="0">[2]Маркетинг!$J$12</definedName>
    <definedName name="ДМ12_2_USD">[2]Маркетинг!$J$12</definedName>
    <definedName name="ДМ12_2_РУБ" localSheetId="0">[2]Маркетинг!$I$12</definedName>
    <definedName name="ДМ12_2_РУБ">[2]Маркетинг!$I$12</definedName>
    <definedName name="ДМ12_3_EUR" localSheetId="0">[2]Маркетинг!$O$12</definedName>
    <definedName name="ДМ12_3_EUR">[2]Маркетинг!$O$12</definedName>
    <definedName name="ДМ12_3_USD" localSheetId="0">[2]Маркетинг!$N$12</definedName>
    <definedName name="ДМ12_3_USD">[2]Маркетинг!$N$12</definedName>
    <definedName name="ДМ12_3_РУБ" localSheetId="0">[2]Маркетинг!$M$12</definedName>
    <definedName name="ДМ12_3_РУБ">[2]Маркетинг!$M$12</definedName>
    <definedName name="ДМ12_4_EUR" localSheetId="0">[2]Маркетинг!$S$12</definedName>
    <definedName name="ДМ12_4_EUR">[2]Маркетинг!$S$12</definedName>
    <definedName name="ДМ12_4_USD" localSheetId="0">[2]Маркетинг!$R$12</definedName>
    <definedName name="ДМ12_4_USD">[2]Маркетинг!$R$12</definedName>
    <definedName name="ДМ12_4_РУБ" localSheetId="0">[2]Маркетинг!$Q$12</definedName>
    <definedName name="ДМ12_4_РУБ">[2]Маркетинг!$Q$12</definedName>
    <definedName name="ДМ12_5_EUR" localSheetId="0">[2]Маркетинг!$W$12</definedName>
    <definedName name="ДМ12_5_EUR">[2]Маркетинг!$W$12</definedName>
    <definedName name="ДМ12_5_USD" localSheetId="0">[2]Маркетинг!$V$12</definedName>
    <definedName name="ДМ12_5_USD">[2]Маркетинг!$V$12</definedName>
    <definedName name="ДМ12_5_РУБ" localSheetId="0">[2]Маркетинг!$U$12</definedName>
    <definedName name="ДМ12_5_РУБ">[2]Маркетинг!$U$12</definedName>
    <definedName name="ДМ13_1_EUR" localSheetId="0">[2]Маркетинг!$E$13</definedName>
    <definedName name="ДМ13_1_EUR">[2]Маркетинг!$E$13</definedName>
    <definedName name="ДМ13_1_USD" localSheetId="0">[2]Маркетинг!$D$13</definedName>
    <definedName name="ДМ13_1_USD">[2]Маркетинг!$D$13</definedName>
    <definedName name="ДМ13_1_РУБ" localSheetId="0">[2]Маркетинг!$C$13</definedName>
    <definedName name="ДМ13_1_РУБ">[2]Маркетинг!$C$13</definedName>
    <definedName name="ДМ13_2_EUR" localSheetId="0">[2]Маркетинг!$K$13</definedName>
    <definedName name="ДМ13_2_EUR">[2]Маркетинг!$K$13</definedName>
    <definedName name="ДМ13_2_USD" localSheetId="0">[2]Маркетинг!$J$13</definedName>
    <definedName name="ДМ13_2_USD">[2]Маркетинг!$J$13</definedName>
    <definedName name="ДМ13_2_РУБ" localSheetId="0">[2]Маркетинг!$I$13</definedName>
    <definedName name="ДМ13_2_РУБ">[2]Маркетинг!$I$13</definedName>
    <definedName name="ДМ13_3_EUR" localSheetId="0">[2]Маркетинг!$O$13</definedName>
    <definedName name="ДМ13_3_EUR">[2]Маркетинг!$O$13</definedName>
    <definedName name="ДМ13_3_USD" localSheetId="0">[2]Маркетинг!$N$13</definedName>
    <definedName name="ДМ13_3_USD">[2]Маркетинг!$N$13</definedName>
    <definedName name="ДМ13_3_РУБ" localSheetId="0">[2]Маркетинг!$M$13</definedName>
    <definedName name="ДМ13_3_РУБ">[2]Маркетинг!$M$13</definedName>
    <definedName name="ДМ13_4_EUR" localSheetId="0">[2]Маркетинг!$S$13</definedName>
    <definedName name="ДМ13_4_EUR">[2]Маркетинг!$S$13</definedName>
    <definedName name="ДМ13_4_USD" localSheetId="0">[2]Маркетинг!$R$13</definedName>
    <definedName name="ДМ13_4_USD">[2]Маркетинг!$R$13</definedName>
    <definedName name="ДМ13_4_РУБ" localSheetId="0">[2]Маркетинг!$Q$13</definedName>
    <definedName name="ДМ13_4_РУБ">[2]Маркетинг!$Q$13</definedName>
    <definedName name="ДМ13_5_EUR" localSheetId="0">[2]Маркетинг!$W$13</definedName>
    <definedName name="ДМ13_5_EUR">[2]Маркетинг!$W$13</definedName>
    <definedName name="ДМ13_5_USD" localSheetId="0">[2]Маркетинг!$V$13</definedName>
    <definedName name="ДМ13_5_USD">[2]Маркетинг!$V$13</definedName>
    <definedName name="ДМ13_5_РУБ" localSheetId="0">[2]Маркетинг!$U$13</definedName>
    <definedName name="ДМ13_5_РУБ">[2]Маркетинг!$U$13</definedName>
    <definedName name="ДМ15_1_EUR" localSheetId="0">[2]Маркетинг!$E$11</definedName>
    <definedName name="ДМ15_1_EUR">[2]Маркетинг!$E$11</definedName>
    <definedName name="ДМ15_1_USD" localSheetId="0">[2]Маркетинг!$D$11</definedName>
    <definedName name="ДМ15_1_USD">[2]Маркетинг!$D$11</definedName>
    <definedName name="ДМ15_1_РУБ" localSheetId="0">[2]Маркетинг!$C$11</definedName>
    <definedName name="ДМ15_1_РУБ">[2]Маркетинг!$C$11</definedName>
    <definedName name="ДМ15_2_EUR" localSheetId="0">[2]Маркетинг!$K$11</definedName>
    <definedName name="ДМ15_2_EUR">[2]Маркетинг!$K$11</definedName>
    <definedName name="ДМ15_2_USD" localSheetId="0">[2]Маркетинг!$J$11</definedName>
    <definedName name="ДМ15_2_USD">[2]Маркетинг!$J$11</definedName>
    <definedName name="ДМ15_2_РУБ" localSheetId="0">[2]Маркетинг!$I$11</definedName>
    <definedName name="ДМ15_2_РУБ">[2]Маркетинг!$I$11</definedName>
    <definedName name="ДМ15_3_EUR" localSheetId="0">[2]Маркетинг!$O$11</definedName>
    <definedName name="ДМ15_3_EUR">[2]Маркетинг!$O$11</definedName>
    <definedName name="ДМ15_3_USD" localSheetId="0">[2]Маркетинг!$N$11</definedName>
    <definedName name="ДМ15_3_USD">[2]Маркетинг!$N$11</definedName>
    <definedName name="ДМ15_3_РУБ" localSheetId="0">[2]Маркетинг!$M$11</definedName>
    <definedName name="ДМ15_3_РУБ">[2]Маркетинг!$M$11</definedName>
    <definedName name="ДМ15_4_EUR" localSheetId="0">[2]Маркетинг!$S$11</definedName>
    <definedName name="ДМ15_4_EUR">[2]Маркетинг!$S$11</definedName>
    <definedName name="ДМ15_4_USD" localSheetId="0">[2]Маркетинг!$R$11</definedName>
    <definedName name="ДМ15_4_USD">[2]Маркетинг!$R$11</definedName>
    <definedName name="ДМ15_4_РУБ" localSheetId="0">[2]Маркетинг!$Q$11</definedName>
    <definedName name="ДМ15_4_РУБ">[2]Маркетинг!$Q$11</definedName>
    <definedName name="ДМ15_5_EUR" localSheetId="0">[2]Маркетинг!$W$11</definedName>
    <definedName name="ДМ15_5_EUR">[2]Маркетинг!$W$11</definedName>
    <definedName name="ДМ15_5_USD" localSheetId="0">[2]Маркетинг!$V$11</definedName>
    <definedName name="ДМ15_5_USD">[2]Маркетинг!$V$11</definedName>
    <definedName name="ДМ15_5_РУБ" localSheetId="0">[2]Маркетинг!$U$11</definedName>
    <definedName name="ДМ15_5_РУБ">[2]Маркетинг!$U$11</definedName>
    <definedName name="ДМ16_1_EUR" localSheetId="0">[2]Маркетинг!$E$10</definedName>
    <definedName name="ДМ16_1_EUR">[2]Маркетинг!$E$10</definedName>
    <definedName name="ДМ16_1_USD" localSheetId="0">[2]Маркетинг!$D$10</definedName>
    <definedName name="ДМ16_1_USD">[2]Маркетинг!$D$10</definedName>
    <definedName name="ДМ16_1_РУБ" localSheetId="0">[2]Маркетинг!$C$10</definedName>
    <definedName name="ДМ16_1_РУБ">[2]Маркетинг!$C$10</definedName>
    <definedName name="ДМ16_2_EUR" localSheetId="0">[2]Маркетинг!$K$10</definedName>
    <definedName name="ДМ16_2_EUR">[2]Маркетинг!$K$10</definedName>
    <definedName name="ДМ16_2_USD" localSheetId="0">[2]Маркетинг!$J$10</definedName>
    <definedName name="ДМ16_2_USD">[2]Маркетинг!$J$10</definedName>
    <definedName name="ДМ16_2_РУБ" localSheetId="0">[2]Маркетинг!$I$10</definedName>
    <definedName name="ДМ16_2_РУБ">[2]Маркетинг!$I$10</definedName>
    <definedName name="ДМ16_3_EUR" localSheetId="0">[2]Маркетинг!$O$10</definedName>
    <definedName name="ДМ16_3_EUR">[2]Маркетинг!$O$10</definedName>
    <definedName name="ДМ16_3_USD" localSheetId="0">[2]Маркетинг!$N$10</definedName>
    <definedName name="ДМ16_3_USD">[2]Маркетинг!$N$10</definedName>
    <definedName name="ДМ16_3_РУБ" localSheetId="0">[2]Маркетинг!$M$10</definedName>
    <definedName name="ДМ16_3_РУБ">[2]Маркетинг!$M$10</definedName>
    <definedName name="ДМ16_4_EUR" localSheetId="0">[2]Маркетинг!$S$10</definedName>
    <definedName name="ДМ16_4_EUR">[2]Маркетинг!$S$10</definedName>
    <definedName name="ДМ16_4_USD" localSheetId="0">[2]Маркетинг!$R$10</definedName>
    <definedName name="ДМ16_4_USD">[2]Маркетинг!$R$10</definedName>
    <definedName name="ДМ16_4_РУБ" localSheetId="0">[2]Маркетинг!$Q$10</definedName>
    <definedName name="ДМ16_4_РУБ">[2]Маркетинг!$Q$10</definedName>
    <definedName name="ДМ16_5_EUR" localSheetId="0">[2]Маркетинг!$W$10</definedName>
    <definedName name="ДМ16_5_EUR">[2]Маркетинг!$W$10</definedName>
    <definedName name="ДМ16_5_USD" localSheetId="0">[2]Маркетинг!$V$10</definedName>
    <definedName name="ДМ16_5_USD">[2]Маркетинг!$V$10</definedName>
    <definedName name="ДМ16_5_РУБ" localSheetId="0">[2]Маркетинг!$U$10</definedName>
    <definedName name="ДМ16_5_РУБ">[2]Маркетинг!$U$10</definedName>
    <definedName name="ДМ17_1_EUR" localSheetId="0">[2]Маркетинг!$E$14</definedName>
    <definedName name="ДМ17_1_EUR">[2]Маркетинг!$E$14</definedName>
    <definedName name="ДМ17_1_USD" localSheetId="0">[2]Маркетинг!$D$14</definedName>
    <definedName name="ДМ17_1_USD">[2]Маркетинг!$D$14</definedName>
    <definedName name="ДМ17_1_РУБ" localSheetId="0">[2]Маркетинг!$C$14</definedName>
    <definedName name="ДМ17_1_РУБ">[2]Маркетинг!$C$14</definedName>
    <definedName name="ДМ17_2_EUR" localSheetId="0">[2]Маркетинг!$K$14</definedName>
    <definedName name="ДМ17_2_EUR">[2]Маркетинг!$K$14</definedName>
    <definedName name="ДМ17_2_USD" localSheetId="0">[2]Маркетинг!$J$14</definedName>
    <definedName name="ДМ17_2_USD">[2]Маркетинг!$J$14</definedName>
    <definedName name="ДМ17_2_РУБ" localSheetId="0">[2]Маркетинг!$I$14</definedName>
    <definedName name="ДМ17_2_РУБ">[2]Маркетинг!$I$14</definedName>
    <definedName name="ДМ17_3_EUR" localSheetId="0">[2]Маркетинг!$O$14</definedName>
    <definedName name="ДМ17_3_EUR">[2]Маркетинг!$O$14</definedName>
    <definedName name="ДМ17_3_USD" localSheetId="0">[2]Маркетинг!$N$14</definedName>
    <definedName name="ДМ17_3_USD">[2]Маркетинг!$N$14</definedName>
    <definedName name="ДМ17_3_РУБ" localSheetId="0">[2]Маркетинг!$M$14</definedName>
    <definedName name="ДМ17_3_РУБ">[2]Маркетинг!$M$14</definedName>
    <definedName name="ДМ17_4_EUR" localSheetId="0">[2]Маркетинг!$S$14</definedName>
    <definedName name="ДМ17_4_EUR">[2]Маркетинг!$S$14</definedName>
    <definedName name="ДМ17_4_USD" localSheetId="0">[2]Маркетинг!$R$14</definedName>
    <definedName name="ДМ17_4_USD">[2]Маркетинг!$R$14</definedName>
    <definedName name="ДМ17_4_РУБ" localSheetId="0">[2]Маркетинг!$Q$14</definedName>
    <definedName name="ДМ17_4_РУБ">[2]Маркетинг!$Q$14</definedName>
    <definedName name="ДМ17_5_EUR" localSheetId="0">[2]Маркетинг!$W$14</definedName>
    <definedName name="ДМ17_5_EUR">[2]Маркетинг!$W$14</definedName>
    <definedName name="ДМ17_5_USD" localSheetId="0">[2]Маркетинг!$V$14</definedName>
    <definedName name="ДМ17_5_USD">[2]Маркетинг!$V$14</definedName>
    <definedName name="ДМ17_5_РУБ" localSheetId="0">[2]Маркетинг!$U$14</definedName>
    <definedName name="ДМ17_5_РУБ">[2]Маркетинг!$U$14</definedName>
    <definedName name="Ж" localSheetId="0">#REF!</definedName>
    <definedName name="Ж">#REF!</definedName>
    <definedName name="итр" localSheetId="0" hidden="1">{"Supporting Schedules",#N/A,FALSE,"Results"}</definedName>
    <definedName name="итр" hidden="1">{"Supporting Schedules",#N/A,FALSE,"Results"}</definedName>
    <definedName name="КАname" localSheetId="0">#REF!</definedName>
    <definedName name="КАname">#REF!</definedName>
    <definedName name="каналы" localSheetId="0">#REF!</definedName>
    <definedName name="каналы">#REF!</definedName>
    <definedName name="Категории" localSheetId="0">#REF!</definedName>
    <definedName name="Категории">#REF!</definedName>
    <definedName name="категория" localSheetId="0">#REF!</definedName>
    <definedName name="категория">#REF!</definedName>
    <definedName name="квартал" localSheetId="0">'[11]инфо для списков'!#REF!</definedName>
    <definedName name="квартал">'[11]инфо для списков'!#REF!</definedName>
    <definedName name="клиент" localSheetId="0">#REF!</definedName>
    <definedName name="клиент">#REF!</definedName>
    <definedName name="месяц" localSheetId="0">'[11]инфо для списков'!#REF!</definedName>
    <definedName name="месяц">'[11]инфо для списков'!#REF!</definedName>
    <definedName name="мммм" localSheetId="0" hidden="1">{"FCF",#N/A,FALSE,"Results"}</definedName>
    <definedName name="мммм" hidden="1">{"FCF",#N/A,FALSE,"Results"}</definedName>
    <definedName name="Москва" localSheetId="0">#REF!</definedName>
    <definedName name="Москва">#REF!</definedName>
    <definedName name="название">'[11]инфо для списков'!$F$2:$F$294</definedName>
    <definedName name="отдел" localSheetId="0">#REF!</definedName>
    <definedName name="отдел">#REF!</definedName>
    <definedName name="промо">'[11]инфо для списков'!$D$2:$D$13</definedName>
    <definedName name="регионы" localSheetId="0">#REF!</definedName>
    <definedName name="регионы">#REF!</definedName>
    <definedName name="Рискаль" localSheetId="0">#REF!</definedName>
    <definedName name="Рискаль">#REF!</definedName>
    <definedName name="Рискальь" localSheetId="0">#REF!</definedName>
    <definedName name="Рискальь">#REF!</definedName>
    <definedName name="сети" localSheetId="0">#REF!</definedName>
    <definedName name="сети">#REF!</definedName>
    <definedName name="скидки" localSheetId="0">[12]Списки!$A$2:$C$14</definedName>
    <definedName name="скидки">[12]Списки!$A$2:$C$14</definedName>
    <definedName name="статус" localSheetId="0">'[11]инфо для списков'!#REF!</definedName>
    <definedName name="статус">'[11]инфо для списков'!#REF!</definedName>
    <definedName name="статус1" localSheetId="0">'[11]инфо для списков'!#REF!</definedName>
    <definedName name="статус1">'[11]инфо для списков'!#REF!</definedName>
    <definedName name="цель" localSheetId="0">#REF!</definedName>
    <definedName name="цель">#REF!</definedName>
    <definedName name="ЭЭЭЭЭЭ" localSheetId="0">'[11]инфо для списков'!#REF!</definedName>
    <definedName name="ЭЭЭЭЭЭ">'[11]инфо для списков'!#REF!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" i="1" l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H5" i="1"/>
  <c r="G5" i="1"/>
  <c r="I40" i="1" l="1"/>
  <c r="K40" i="1" s="1"/>
  <c r="I39" i="1"/>
  <c r="K39" i="1" s="1"/>
  <c r="I11" i="1"/>
  <c r="K11" i="1" s="1"/>
  <c r="I10" i="1"/>
  <c r="K10" i="1" s="1"/>
  <c r="I9" i="1"/>
  <c r="K9" i="1" s="1"/>
  <c r="J53" i="1" l="1"/>
  <c r="I5" i="1" l="1"/>
  <c r="K5" i="1" s="1"/>
  <c r="I6" i="1"/>
  <c r="I7" i="1"/>
  <c r="I8" i="1"/>
  <c r="I34" i="1"/>
  <c r="I28" i="1"/>
  <c r="I29" i="1"/>
  <c r="I30" i="1"/>
  <c r="I31" i="1"/>
  <c r="I32" i="1"/>
  <c r="I33" i="1"/>
  <c r="I19" i="1"/>
  <c r="I38" i="1"/>
  <c r="I36" i="1"/>
  <c r="I37" i="1"/>
  <c r="I35" i="1"/>
  <c r="I21" i="1"/>
  <c r="I20" i="1"/>
  <c r="I27" i="1"/>
  <c r="I26" i="1"/>
  <c r="I18" i="1"/>
  <c r="I17" i="1"/>
  <c r="I42" i="1"/>
  <c r="I50" i="1"/>
  <c r="I51" i="1"/>
  <c r="I41" i="1"/>
  <c r="I16" i="1"/>
  <c r="I13" i="1"/>
  <c r="I12" i="1"/>
  <c r="I14" i="1"/>
  <c r="I22" i="1"/>
  <c r="I15" i="1"/>
  <c r="I43" i="1"/>
  <c r="I45" i="1"/>
  <c r="I46" i="1"/>
  <c r="I44" i="1"/>
  <c r="I47" i="1"/>
  <c r="I48" i="1"/>
  <c r="I49" i="1"/>
  <c r="I23" i="1"/>
  <c r="I25" i="1"/>
  <c r="I24" i="1"/>
  <c r="K6" i="1" l="1"/>
  <c r="K7" i="1"/>
  <c r="K8" i="1"/>
  <c r="K34" i="1"/>
  <c r="K28" i="1"/>
  <c r="K29" i="1"/>
  <c r="K30" i="1"/>
  <c r="K31" i="1"/>
  <c r="K32" i="1"/>
  <c r="K33" i="1"/>
  <c r="K19" i="1"/>
  <c r="K38" i="1"/>
  <c r="K36" i="1"/>
  <c r="K37" i="1"/>
  <c r="K35" i="1"/>
  <c r="K21" i="1"/>
  <c r="K20" i="1"/>
  <c r="K27" i="1"/>
  <c r="K26" i="1"/>
  <c r="K18" i="1"/>
  <c r="K17" i="1"/>
  <c r="K42" i="1"/>
  <c r="K50" i="1"/>
  <c r="K51" i="1"/>
  <c r="K41" i="1"/>
  <c r="K16" i="1"/>
  <c r="K13" i="1"/>
  <c r="K12" i="1"/>
  <c r="K14" i="1"/>
  <c r="K22" i="1"/>
  <c r="K15" i="1"/>
  <c r="K43" i="1"/>
  <c r="K45" i="1"/>
  <c r="K46" i="1"/>
  <c r="K44" i="1"/>
  <c r="K47" i="1"/>
  <c r="K48" i="1"/>
  <c r="K49" i="1"/>
  <c r="K23" i="1"/>
  <c r="K25" i="1"/>
  <c r="K24" i="1"/>
</calcChain>
</file>

<file path=xl/sharedStrings.xml><?xml version="1.0" encoding="utf-8"?>
<sst xmlns="http://schemas.openxmlformats.org/spreadsheetml/2006/main" count="247" uniqueCount="168">
  <si>
    <t>КОД</t>
  </si>
  <si>
    <t>СТАТ.
УНИФ.</t>
  </si>
  <si>
    <t>ТИП</t>
  </si>
  <si>
    <t>НАИМЕНОВАНИЕ</t>
  </si>
  <si>
    <t>БПЛ</t>
  </si>
  <si>
    <t>ШТ.</t>
  </si>
  <si>
    <t>РУБ.</t>
  </si>
  <si>
    <t>РРЦ min</t>
  </si>
  <si>
    <t>Италия, Тоскана</t>
  </si>
  <si>
    <t>ЦЕНА</t>
  </si>
  <si>
    <t>СКИДКА</t>
  </si>
  <si>
    <t>СТРАНА, РЕГИОН</t>
  </si>
  <si>
    <t>Италия, Венето</t>
  </si>
  <si>
    <t>Италия, Пьемонт</t>
  </si>
  <si>
    <t>Италия, Сицилия</t>
  </si>
  <si>
    <t>Италия, Абруццо</t>
  </si>
  <si>
    <t>Италия, Эмилия-Романья</t>
  </si>
  <si>
    <t>Испания, Каталония</t>
  </si>
  <si>
    <t>s138439</t>
  </si>
  <si>
    <t>s147415</t>
  </si>
  <si>
    <t>s149437</t>
  </si>
  <si>
    <t>s154392</t>
  </si>
  <si>
    <t>s149643</t>
  </si>
  <si>
    <t>s149644</t>
  </si>
  <si>
    <t>s149053</t>
  </si>
  <si>
    <t>s159409</t>
  </si>
  <si>
    <t>s001410</t>
  </si>
  <si>
    <t>s158122</t>
  </si>
  <si>
    <t>s001411</t>
  </si>
  <si>
    <t>s158139</t>
  </si>
  <si>
    <t>s001419</t>
  </si>
  <si>
    <t>s158128</t>
  </si>
  <si>
    <t>s105219</t>
  </si>
  <si>
    <t>s157314</t>
  </si>
  <si>
    <t>s001414</t>
  </si>
  <si>
    <t>s158135</t>
  </si>
  <si>
    <t>s001435</t>
  </si>
  <si>
    <t>s158140</t>
  </si>
  <si>
    <t>s133409</t>
  </si>
  <si>
    <t>s141415</t>
  </si>
  <si>
    <t>s005702</t>
  </si>
  <si>
    <t>s158249</t>
  </si>
  <si>
    <t>s005704</t>
  </si>
  <si>
    <t>s158250</t>
  </si>
  <si>
    <t>s005705</t>
  </si>
  <si>
    <t>s158251</t>
  </si>
  <si>
    <t>s88007</t>
  </si>
  <si>
    <t>s158254</t>
  </si>
  <si>
    <t>s88008</t>
  </si>
  <si>
    <t>s158252</t>
  </si>
  <si>
    <t>s005699</t>
  </si>
  <si>
    <t>s157970</t>
  </si>
  <si>
    <t>s88772</t>
  </si>
  <si>
    <t>s157971</t>
  </si>
  <si>
    <t>s110112</t>
  </si>
  <si>
    <t>s158121</t>
  </si>
  <si>
    <t>s97355</t>
  </si>
  <si>
    <t>s155992</t>
  </si>
  <si>
    <t>s002066</t>
  </si>
  <si>
    <t>s159762</t>
  </si>
  <si>
    <t>s005794</t>
  </si>
  <si>
    <t>s159957</t>
  </si>
  <si>
    <t>s88329</t>
  </si>
  <si>
    <t>s154783</t>
  </si>
  <si>
    <t>s91693</t>
  </si>
  <si>
    <t>s137288</t>
  </si>
  <si>
    <t>s140928</t>
  </si>
  <si>
    <t>s147897</t>
  </si>
  <si>
    <t>s147157</t>
  </si>
  <si>
    <t>s160101</t>
  </si>
  <si>
    <t>s140929</t>
  </si>
  <si>
    <t>s160211</t>
  </si>
  <si>
    <t>s148197</t>
  </si>
  <si>
    <t>s158336</t>
  </si>
  <si>
    <t>s101571</t>
  </si>
  <si>
    <t>s159055</t>
  </si>
  <si>
    <t>s101569</t>
  </si>
  <si>
    <t>s159111</t>
  </si>
  <si>
    <t>s101570</t>
  </si>
  <si>
    <t>s159080</t>
  </si>
  <si>
    <t>s101574</t>
  </si>
  <si>
    <t>s159059</t>
  </si>
  <si>
    <t>s147431</t>
  </si>
  <si>
    <t>s160539</t>
  </si>
  <si>
    <t>s113953</t>
  </si>
  <si>
    <t>s159899</t>
  </si>
  <si>
    <t>s113952</t>
  </si>
  <si>
    <t>s159900</t>
  </si>
  <si>
    <t>s150851</t>
  </si>
  <si>
    <t>s150850</t>
  </si>
  <si>
    <t>s157276</t>
  </si>
  <si>
    <t>s150849</t>
  </si>
  <si>
    <t>s156900</t>
  </si>
  <si>
    <t>s155911</t>
  </si>
  <si>
    <t>s160425</t>
  </si>
  <si>
    <t>s141064</t>
  </si>
  <si>
    <t>s158003</t>
  </si>
  <si>
    <t>s113117</t>
  </si>
  <si>
    <t>s157464</t>
  </si>
  <si>
    <t>s102115</t>
  </si>
  <si>
    <t>s159267</t>
  </si>
  <si>
    <t>s102114</t>
  </si>
  <si>
    <t>s159648</t>
  </si>
  <si>
    <t>s113528</t>
  </si>
  <si>
    <t>s160067</t>
  </si>
  <si>
    <t>s113530</t>
  </si>
  <si>
    <t>s160068</t>
  </si>
  <si>
    <t>s113531</t>
  </si>
  <si>
    <t>s158653</t>
  </si>
  <si>
    <t>Игристое</t>
  </si>
  <si>
    <t>Тихое</t>
  </si>
  <si>
    <t>Чили, Эльки Велли</t>
  </si>
  <si>
    <t>Испания, Ла Манча</t>
  </si>
  <si>
    <t>Испания, Наварра</t>
  </si>
  <si>
    <t>Испания, Кастилия-Ла-Манча</t>
  </si>
  <si>
    <t>Франция, Лангедок-Руссийон</t>
  </si>
  <si>
    <t>Грузия, Кахетия</t>
  </si>
  <si>
    <t>Южная Африка, Вестерн Кейп</t>
  </si>
  <si>
    <t>Чили, Сентраль Велли</t>
  </si>
  <si>
    <t>Аргентина, Мендоса</t>
  </si>
  <si>
    <t>Бруни Кюве Розе, розовое сладкое, 0.75</t>
  </si>
  <si>
    <t>Чело Блан де Блан новый дизайн, белое брют, 0.75</t>
  </si>
  <si>
    <t>Ритмо Латино Брют, белое брют, 0.75</t>
  </si>
  <si>
    <t>Ритмо Латино Розе, розовое брют, 0.75</t>
  </si>
  <si>
    <t>Кава Трес Наус, белое экстра брют, 0.75</t>
  </si>
  <si>
    <t>ТИНИ Бьянко, белое п/сухое, 0.75</t>
  </si>
  <si>
    <t>ТИНИ Россо, красное п/сухое, 0.75</t>
  </si>
  <si>
    <t>ТИНИ Треббьяно Романья, белое сухое, 0.75</t>
  </si>
  <si>
    <t>ТИНИ Розе, розовое п/сухое, 0.75</t>
  </si>
  <si>
    <t>ТИНИ Монтепульчано д'Абруццо новый дизайн, красное п/сухое, 0.75</t>
  </si>
  <si>
    <t>ТИНИ Россо Терре Сичилиане, красное п/сухое, 0.75</t>
  </si>
  <si>
    <t>ТИНИ Био Греканико Пино Гриджо, белое п/сухое, 0.75</t>
  </si>
  <si>
    <t>Фрескелло Бьянко, белое п/сухое, 0.75</t>
  </si>
  <si>
    <t>Фрескелло Розе, розовое п/сухое, 0.75</t>
  </si>
  <si>
    <t>Фрескелло Россо, красное п/сухое, 0.75</t>
  </si>
  <si>
    <t>Фрескелло Семи Свит Уайт, белое п/сладкое, 0.75</t>
  </si>
  <si>
    <t>Фрескелло Семи Свит Ред, красное п/сладкое, 0.75</t>
  </si>
  <si>
    <t>Фрескелло Фризанте Бьянко, белое сухое, 0.75</t>
  </si>
  <si>
    <t>Фрескелло Фризанте Розе, розовое брют, 0.75</t>
  </si>
  <si>
    <t>Бруни Греканико Пино Гриджо, белое п/сухое, 0.75</t>
  </si>
  <si>
    <t>Бруни Монтепульчано д'Абруццо, красное сухое, 0.75</t>
  </si>
  <si>
    <t>Пино Гриджо Розе (делле Венецие), розовое п/сухое, 0.75</t>
  </si>
  <si>
    <t>Санте Риве Соаве, белое сухое, 0.75</t>
  </si>
  <si>
    <t>Кьянти, красное сухое, 0.75</t>
  </si>
  <si>
    <t>Кампо Делия Ла Манча Айрен, белое сухое, 0.75</t>
  </si>
  <si>
    <t>Дафне Виньярдс Спиритс Гарнача, красное сухое, 0.75</t>
  </si>
  <si>
    <t>Гезэринг Сторм, красное п/сухое, 0.75</t>
  </si>
  <si>
    <t>Ле Гран Нуар Шардоне, белое сухое, 0.75</t>
  </si>
  <si>
    <t>Ле Гран Нуар Совиньон Блан, белое сухое, 0.75</t>
  </si>
  <si>
    <t>Ле Гран Нуар Каберне Со, красное п/сухое, 0.75</t>
  </si>
  <si>
    <t>Магариа Саперави, красное сухое, 0.75</t>
  </si>
  <si>
    <t>Муцци Гренаш, красное сухое, 0.75</t>
  </si>
  <si>
    <t>Муцци Москато, белое п/сухое, 0.75</t>
  </si>
  <si>
    <t>Муцци Пино Гриджо, белое сухое, 0.75</t>
  </si>
  <si>
    <t>Их Бин Рислинг, белое сухое, 0.75</t>
  </si>
  <si>
    <t>Совиньон Блан Семильон, белое сухое, 0.75</t>
  </si>
  <si>
    <t>Селлар Селекшн Карменер, красное п/сухое, 0.75</t>
  </si>
  <si>
    <t>Стейквайн Шардоне (Мендоса), белое п/сухое, 0.75</t>
  </si>
  <si>
    <t>Трапиче Виньярдс Шардоне, белое сухое, 0.75</t>
  </si>
  <si>
    <t>Трапиче Виньярдс Каб Сов, красное сухое, 0.75</t>
  </si>
  <si>
    <t>Трапиче Оук Каск Шардоне, белое сухое, 0.75</t>
  </si>
  <si>
    <t>При изменении БПЛ спец.цена может измениться. Бонусы и маркетинг с промо-объема не начисляются. Количество товара ограничено.</t>
  </si>
  <si>
    <r>
      <t xml:space="preserve">Ле Гран Нуар Пино Нуар, красное п/сухое, 0.75 </t>
    </r>
    <r>
      <rPr>
        <b/>
        <sz val="16"/>
        <color rgb="FFE24E78"/>
        <rFont val="HeliosC"/>
        <charset val="204"/>
      </rPr>
      <t>| с 20.05</t>
    </r>
  </si>
  <si>
    <r>
      <t>Риго Риго Пинотаж, красное сухое, 0.75</t>
    </r>
    <r>
      <rPr>
        <b/>
        <sz val="16"/>
        <color rgb="FFE24E78"/>
        <rFont val="HeliosC"/>
        <charset val="204"/>
      </rPr>
      <t xml:space="preserve"> | с 18.05</t>
    </r>
  </si>
  <si>
    <r>
      <t>Риго Риго Шенен Блан, белое сухое, 0.75</t>
    </r>
    <r>
      <rPr>
        <b/>
        <sz val="16"/>
        <color rgb="FFE24E78"/>
        <rFont val="HeliosC"/>
        <charset val="204"/>
      </rPr>
      <t xml:space="preserve"> | с 18.05</t>
    </r>
  </si>
  <si>
    <r>
      <t xml:space="preserve">Стейквайн Мальбек (Мендоса), красное п/сухое, 0.75 </t>
    </r>
    <r>
      <rPr>
        <b/>
        <sz val="16"/>
        <color rgb="FFE24E78"/>
        <rFont val="HeliosC"/>
        <charset val="204"/>
      </rPr>
      <t>| с 29.05</t>
    </r>
  </si>
  <si>
    <r>
      <t xml:space="preserve">Дафне Виньярдс Спиритс Шардоне, белое сухое, 0.75 </t>
    </r>
    <r>
      <rPr>
        <b/>
        <sz val="16"/>
        <color rgb="FFE24E78"/>
        <rFont val="HeliosC"/>
        <charset val="204"/>
      </rPr>
      <t>| с 26.02</t>
    </r>
  </si>
  <si>
    <r>
      <t xml:space="preserve">Дафне Виньярдс Спиритс Темпранильо, красное сухое, 0.75 </t>
    </r>
    <r>
      <rPr>
        <b/>
        <sz val="16"/>
        <color rgb="FFE24E78"/>
        <rFont val="HeliosC"/>
        <charset val="204"/>
      </rPr>
      <t>| с 20.05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</si>
</sst>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0"/>
      <name val="HeliosC"/>
      <charset val="204"/>
    </font>
    <font>
      <b/>
      <sz val="11"/>
      <color rgb="FF945714"/>
      <name val="HeliosC"/>
      <charset val="204"/>
    </font>
    <font>
      <sz val="11"/>
      <color rgb="FF0070C0"/>
      <name val="HeliosC"/>
      <charset val="204"/>
    </font>
    <font>
      <sz val="11"/>
      <color theme="9" tint="-0.249977111117893"/>
      <name val="HeliosC"/>
      <charset val="204"/>
    </font>
    <font>
      <sz val="11"/>
      <color theme="1"/>
      <name val="HeliosC"/>
      <charset val="204"/>
    </font>
    <font>
      <sz val="10"/>
      <color theme="9" tint="0.79998168889431442"/>
      <name val="HeliosC"/>
      <charset val="204"/>
    </font>
    <font>
      <sz val="11"/>
      <color theme="9" tint="0.79998168889431442"/>
      <name val="HeliosC"/>
      <charset val="204"/>
    </font>
    <font>
      <b/>
      <sz val="18"/>
      <color theme="9" tint="0.79998168889431442"/>
      <name val="HeliosC"/>
      <charset val="204"/>
    </font>
    <font>
      <b/>
      <sz val="15"/>
      <color theme="9" tint="0.79998168889431442"/>
      <name val="HeliosC"/>
      <charset val="204"/>
    </font>
    <font>
      <sz val="16"/>
      <color theme="9" tint="-0.499984740745262"/>
      <name val="HeliosC"/>
      <charset val="204"/>
    </font>
    <font>
      <b/>
      <sz val="16"/>
      <color theme="9" tint="-0.249977111117893"/>
      <name val="HeliosC"/>
      <charset val="204"/>
    </font>
    <font>
      <sz val="16"/>
      <color theme="2" tint="-0.749992370372631"/>
      <name val="HeliosC"/>
      <charset val="204"/>
    </font>
    <font>
      <b/>
      <sz val="16"/>
      <color theme="2" tint="-0.749992370372631"/>
      <name val="HeliosC"/>
      <charset val="204"/>
    </font>
    <font>
      <b/>
      <sz val="16"/>
      <color rgb="FFE24E78"/>
      <name val="HeliosC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A2D4E8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rgb="FFA2D4E8"/>
      </top>
      <bottom style="thin">
        <color theme="9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9" fontId="3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left" vertical="center"/>
    </xf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top"/>
    </xf>
    <xf numFmtId="3" fontId="8" fillId="4" borderId="0" xfId="0" applyNumberFormat="1" applyFont="1" applyFill="1" applyAlignment="1">
      <alignment horizontal="left" vertical="center"/>
    </xf>
    <xf numFmtId="9" fontId="8" fillId="4" borderId="0" xfId="1" applyNumberFormat="1" applyFont="1" applyFill="1" applyBorder="1" applyAlignment="1">
      <alignment horizontal="center" vertical="center"/>
    </xf>
    <xf numFmtId="0" fontId="9" fillId="4" borderId="0" xfId="0" applyNumberFormat="1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/>
    <xf numFmtId="0" fontId="9" fillId="4" borderId="0" xfId="0" applyFont="1" applyFill="1" applyAlignment="1">
      <alignment horizontal="left" vertical="center"/>
    </xf>
    <xf numFmtId="3" fontId="11" fillId="4" borderId="2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/>
    </xf>
    <xf numFmtId="0" fontId="9" fillId="4" borderId="0" xfId="0" applyNumberFormat="1" applyFont="1" applyFill="1" applyAlignment="1">
      <alignment horizontal="left" vertical="center"/>
    </xf>
    <xf numFmtId="0" fontId="12" fillId="4" borderId="1" xfId="0" applyFont="1" applyFill="1" applyBorder="1" applyAlignment="1">
      <alignment horizontal="center" vertical="center" wrapText="1"/>
    </xf>
    <xf numFmtId="9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4" fontId="13" fillId="3" borderId="3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wrapText="1"/>
    </xf>
    <xf numFmtId="3" fontId="15" fillId="3" borderId="3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10" fontId="14" fillId="3" borderId="3" xfId="1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00000000-0005-0000-0000-00002F000000}"/>
    <cellStyle name="Процентный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24E78"/>
      <color rgb="FF761C61"/>
      <color rgb="FF1B4577"/>
      <color rgb="FF1D2575"/>
      <color rgb="FF660033"/>
      <color rgb="FF663300"/>
      <color rgb="FFFEF4F4"/>
      <color rgb="FF452121"/>
      <color rgb="FF005000"/>
      <color rgb="FF253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5" name="AutoShape 1" descr="https://files.messenger.yandex.net/disk/a0001199-8a3c-c34b-42b1-9f03a770a6bb?size=middle-2048">
          <a:extLst>
            <a:ext uri="{FF2B5EF4-FFF2-40B4-BE49-F238E27FC236}">
              <a16:creationId xmlns:a16="http://schemas.microsoft.com/office/drawing/2014/main" id="{B6209190-3CF0-4594-AF70-38C2C33C61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6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323273</xdr:colOff>
      <xdr:row>0</xdr:row>
      <xdr:rowOff>265550</xdr:rowOff>
    </xdr:from>
    <xdr:to>
      <xdr:col>11</xdr:col>
      <xdr:colOff>1443181</xdr:colOff>
      <xdr:row>3</xdr:row>
      <xdr:rowOff>14410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A44466B-F2C3-41B0-87EE-6059FFCC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273" y="265550"/>
          <a:ext cx="24222363" cy="47249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12</xdr:col>
      <xdr:colOff>23091</xdr:colOff>
      <xdr:row>67</xdr:row>
      <xdr:rowOff>48571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1A65C2A-7158-4BD3-A979-2564144A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818" y="27501273"/>
          <a:ext cx="24245455" cy="22999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PPH101\SEA$\SEA\1999OB\Chart%20Format\RGIONRP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Common/&#1057;&#1055;&#1045;&#1062;&#1048;&#1040;&#1051;&#1068;&#1053;&#1040;&#1071;%20&#1055;&#1040;&#1055;&#1050;&#1040;/01_&#1054;&#1058;&#1063;&#1045;&#1058;_&#1050;&#1052;&#1057;/2009/0901_&#1103;&#1085;&#1074;&#1072;&#1088;&#1100;/&#1086;&#1090;&#1095;&#1077;&#1090;_&#1050;&#1052;&#1057;_2009_01_&#1103;&#1085;&#107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tebaev1\Local%20Settings\Temporary%20Internet%20Files\OLKAC\Account%20Mapping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ATA\EXDATA\CPEXPE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Library_Demand_Planning/Demand_Planning_Meeting/Draft&amp;After/2008/November/Tool/DP_Meeting_Presentation_Tool_v19_beforeS&amp;O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CST\2006\OB06\Com\A&amp;C\A&amp;C%20ACT'05%20Moscow%20BU%20R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srumosfil2\users$\WINDOWS\TEMP\TD_0001.DIR\Finance\Budgeting%20Group\2001\RE\03\Mgt%20Narratives%208274%20Mar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Library_Demand_Planning/Demand_Planning_Meeting/Draft&amp;After/2008/September/Tool/DP_Meeting_Presentation_Tool_v19_beforeSO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srumosfil2\users$\WINDOWS\TEMP\TD_0001.DIR\windows\TEMP\Proposal_ExecutiveSumma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srumosfil2\users$\WINDOWS\TEMP\TD_0001.DIR\windows\TEMP\SEM%20REPORTING%20Exec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10sfs4\ds$\Trade%20Marketing\04_&#1064;&#1040;&#1041;&#1051;&#1054;&#1053;&#1067;%20&#1044;&#1054;&#1050;&#1059;&#1052;&#1045;&#1053;&#1058;&#1054;&#1042;%20&#1057;&#1054;&#1043;&#1051;&#1040;&#1057;&#1054;&#1042;&#1040;&#1053;&#1048;&#1071;%20&#1055;&#1056;&#1054;&#1052;&#1054;\!!!&#1057;&#1074;&#1086;&#1076;&#1085;&#1072;&#1103;%20&#1092;&#1086;&#1088;&#1084;&#1072;%20&#1079;&#1072;&#1103;&#1074;&#1082;&#1080;%20&#1055;&#1072;&#1089;&#1087;&#1086;&#1088;&#1090;&#1085;&#1099;&#1077;%20&#1072;&#1082;&#1094;&#1080;&#1080;%2002092015.xslx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s$/retail/dvolkov/&#1056;&#1072;&#1073;&#1086;&#1095;&#1080;&#1081;%20&#1089;&#1090;&#1086;&#1083;/TMP/&#1050;&#1086;&#1087;&#1080;&#1103;%20&#1058;&#1052;%20&#1087;&#1083;&#1072;&#1085;_&#1050;&#1040;%20(&#1088;&#1072;&#1073;&#1086;&#1095;&#1080;&#1081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vstarkina\Downloads\&#1040;&#1089;&#1089;&#1086;&#1088;&#1090;&#1080;&#1084;&#1077;&#1085;&#1090;%20(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97LST"/>
      <sheetName val="инфо для списков"/>
      <sheetName val="справочник"/>
      <sheetName val="листы"/>
      <sheetName val="Лист4"/>
      <sheetName val="категории"/>
      <sheetName val="Бюджет (год)"/>
      <sheetName val="статьи"/>
      <sheetName val="СПИСКИ"/>
      <sheetName val="ЦФО"/>
      <sheetName val="Lists"/>
      <sheetName val="для выпадающего спи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_ТекД_н"/>
      <sheetName val="по_ТекД_стар"/>
      <sheetName val="сегодня"/>
      <sheetName val="Маркетинг"/>
      <sheetName val="Отчет_сводный"/>
      <sheetName val="H"/>
      <sheetName val="Отчет_СИМПЛ"/>
      <sheetName val="Отчет_Кассе"/>
      <sheetName val="Отчет_Склад"/>
      <sheetName val="Отчет_Нева"/>
      <sheetName val="Отчет_Инграт"/>
      <sheetName val="Отчет_SWT"/>
      <sheetName val="К"/>
      <sheetName val="Бюд_09янв"/>
      <sheetName val="инфо для списков"/>
      <sheetName val="Справочник статей"/>
      <sheetName val="Indexes"/>
      <sheetName val="инфо_для_списков"/>
      <sheetName val="Справочник_статей"/>
      <sheetName val="Справочник ЦФО"/>
      <sheetName val="product a"/>
      <sheetName val="product b"/>
      <sheetName val="product c"/>
      <sheetName val="product d"/>
      <sheetName val="product e"/>
      <sheetName val="product f"/>
      <sheetName val="product g"/>
      <sheetName val="product h"/>
      <sheetName val="product i"/>
      <sheetName val="product j"/>
      <sheetName val="forecast driv -#2"/>
      <sheetName val="wacc and wara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27.0596</v>
          </cell>
        </row>
        <row r="4">
          <cell r="B4">
            <v>34.414400000000001</v>
          </cell>
        </row>
        <row r="9">
          <cell r="C9">
            <v>8194732.8099999996</v>
          </cell>
          <cell r="D9">
            <v>121500</v>
          </cell>
          <cell r="E9">
            <v>0</v>
          </cell>
          <cell r="I9">
            <v>1200000</v>
          </cell>
          <cell r="J9">
            <v>750</v>
          </cell>
          <cell r="K9">
            <v>0</v>
          </cell>
          <cell r="M9">
            <v>4620613.05</v>
          </cell>
          <cell r="N9">
            <v>62100</v>
          </cell>
          <cell r="O9">
            <v>0</v>
          </cell>
          <cell r="Q9">
            <v>2374119.7599999998</v>
          </cell>
          <cell r="R9">
            <v>58650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</row>
        <row r="10">
          <cell r="C10">
            <v>2515775.7400000002</v>
          </cell>
          <cell r="D10">
            <v>0</v>
          </cell>
          <cell r="E10">
            <v>2550</v>
          </cell>
          <cell r="I10">
            <v>1022483.9</v>
          </cell>
          <cell r="J10">
            <v>0</v>
          </cell>
          <cell r="K10">
            <v>0</v>
          </cell>
          <cell r="M10">
            <v>555829.96</v>
          </cell>
          <cell r="N10">
            <v>0</v>
          </cell>
          <cell r="O10">
            <v>2550</v>
          </cell>
          <cell r="Q10">
            <v>885961.88</v>
          </cell>
          <cell r="R10">
            <v>0</v>
          </cell>
          <cell r="S10">
            <v>0</v>
          </cell>
          <cell r="U10">
            <v>51500</v>
          </cell>
          <cell r="V10">
            <v>0</v>
          </cell>
          <cell r="W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W11">
            <v>0</v>
          </cell>
        </row>
        <row r="12">
          <cell r="C12">
            <v>4400</v>
          </cell>
          <cell r="D12">
            <v>0</v>
          </cell>
          <cell r="E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  <cell r="S12">
            <v>0</v>
          </cell>
          <cell r="U12">
            <v>4400</v>
          </cell>
          <cell r="V12">
            <v>0</v>
          </cell>
          <cell r="W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W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W1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ccount Mapping"/>
      <sheetName val="vv Accounts"/>
      <sheetName val="Account Mapping (2)"/>
    </sheetNames>
    <sheetDataSet>
      <sheetData sheetId="0" refreshError="1"/>
      <sheetData sheetId="1" refreshError="1"/>
      <sheetData sheetId="2" refreshError="1">
        <row r="2">
          <cell r="A2" t="str">
            <v>Salary and Wages</v>
          </cell>
        </row>
        <row r="3">
          <cell r="A3" t="str">
            <v>Bonus and Awards</v>
          </cell>
        </row>
        <row r="4">
          <cell r="A4" t="str">
            <v>Payroll Taxes and Retirement Plan Match</v>
          </cell>
        </row>
        <row r="5">
          <cell r="A5" t="str">
            <v>Health and Welfare</v>
          </cell>
        </row>
        <row r="6">
          <cell r="A6" t="str">
            <v>Retiree Medical</v>
          </cell>
        </row>
        <row r="7">
          <cell r="A7" t="str">
            <v>Pension</v>
          </cell>
        </row>
        <row r="8">
          <cell r="A8" t="str">
            <v>Motor Vehicle Operating Expense</v>
          </cell>
        </row>
        <row r="9">
          <cell r="A9" t="str">
            <v>Relocation Expense</v>
          </cell>
        </row>
        <row r="10">
          <cell r="A10" t="str">
            <v>Employee Support Costs</v>
          </cell>
        </row>
        <row r="11">
          <cell r="A11" t="str">
            <v>Tech/Professional Services</v>
          </cell>
        </row>
        <row r="12">
          <cell r="A12" t="str">
            <v>Fixed Bid</v>
          </cell>
        </row>
        <row r="13">
          <cell r="A13" t="str">
            <v>Temp Employee Services</v>
          </cell>
        </row>
        <row r="14">
          <cell r="A14" t="str">
            <v>Outside Services</v>
          </cell>
        </row>
        <row r="15">
          <cell r="A15" t="str">
            <v xml:space="preserve">Business Entertainment </v>
          </cell>
        </row>
        <row r="16">
          <cell r="A16" t="str">
            <v>Travel Expense</v>
          </cell>
        </row>
        <row r="17">
          <cell r="A17" t="str">
            <v>Company Meeting Expense</v>
          </cell>
        </row>
        <row r="18">
          <cell r="A18" t="str">
            <v>Training</v>
          </cell>
        </row>
        <row r="19">
          <cell r="A19" t="str">
            <v>Rent and Storage - Data Processing Equipment</v>
          </cell>
        </row>
        <row r="20">
          <cell r="A20" t="str">
            <v>Rent and Storage - Land and Buildings</v>
          </cell>
        </row>
        <row r="21">
          <cell r="A21" t="str">
            <v>Rent and Storage - Other Equipment</v>
          </cell>
        </row>
        <row r="22">
          <cell r="A22" t="str">
            <v>TECWorks Charges</v>
          </cell>
        </row>
        <row r="23">
          <cell r="A23" t="str">
            <v>Depreciation - Software Licenses</v>
          </cell>
        </row>
        <row r="24">
          <cell r="A24" t="str">
            <v>Depreciation - Software Development</v>
          </cell>
        </row>
        <row r="25">
          <cell r="A25" t="str">
            <v>Depreciation - Hardware</v>
          </cell>
        </row>
        <row r="26">
          <cell r="A26" t="str">
            <v>Depreciation - Other</v>
          </cell>
        </row>
        <row r="27">
          <cell r="A27" t="str">
            <v>Computer Software</v>
          </cell>
        </row>
        <row r="28">
          <cell r="A28" t="str">
            <v>Computer Hardware</v>
          </cell>
        </row>
        <row r="29">
          <cell r="A29" t="str">
            <v>Repair and Mainteance - Software</v>
          </cell>
        </row>
        <row r="30">
          <cell r="A30" t="str">
            <v>Repair and Maintenance - Hardware</v>
          </cell>
        </row>
        <row r="31">
          <cell r="A31" t="str">
            <v>Repair and Maintenance - Other</v>
          </cell>
        </row>
        <row r="32">
          <cell r="A32" t="str">
            <v>Telephone Services</v>
          </cell>
        </row>
        <row r="33">
          <cell r="A33" t="str">
            <v>Data Communications</v>
          </cell>
        </row>
        <row r="34">
          <cell r="A34" t="str">
            <v>Mobile Communications</v>
          </cell>
        </row>
        <row r="35">
          <cell r="A35" t="str">
            <v>Operating Supplies</v>
          </cell>
        </row>
        <row r="36">
          <cell r="A36" t="str">
            <v>Office Supplies and Support</v>
          </cell>
        </row>
        <row r="37">
          <cell r="A37" t="str">
            <v>Business Contributions</v>
          </cell>
        </row>
        <row r="38">
          <cell r="A38" t="str">
            <v>Subscriptions and Dues</v>
          </cell>
        </row>
        <row r="39">
          <cell r="A39" t="str">
            <v>Freight</v>
          </cell>
        </row>
        <row r="40">
          <cell r="A40" t="str">
            <v>Taxes - Non Income</v>
          </cell>
        </row>
        <row r="41">
          <cell r="A41" t="str">
            <v>Insurance</v>
          </cell>
        </row>
        <row r="42">
          <cell r="A42" t="str">
            <v>Miscellaneous Expense</v>
          </cell>
        </row>
        <row r="43">
          <cell r="A43" t="str">
            <v>Foreign Exchange Gain/Loss</v>
          </cell>
        </row>
        <row r="44">
          <cell r="A44" t="str">
            <v>Business Gifts - Non Employee</v>
          </cell>
        </row>
        <row r="45">
          <cell r="A45" t="str">
            <v>Occupancy Costs</v>
          </cell>
        </row>
        <row r="46">
          <cell r="A46" t="str">
            <v>Gain/Loss on Sale/Disposal of Capital Assets</v>
          </cell>
        </row>
        <row r="47">
          <cell r="A47" t="str">
            <v>Country Allocation to GIS - Transfer In</v>
          </cell>
        </row>
        <row r="48">
          <cell r="A48" t="str">
            <v>ABM - Transfer In</v>
          </cell>
        </row>
        <row r="49">
          <cell r="A49" t="str">
            <v>Corp Assessment - Transfer In</v>
          </cell>
        </row>
        <row r="50">
          <cell r="A50" t="str">
            <v>Other - Transfer In</v>
          </cell>
        </row>
        <row r="51">
          <cell r="A51" t="str">
            <v>Country Allocation to GIS - Transfer Out</v>
          </cell>
        </row>
        <row r="52">
          <cell r="A52" t="str">
            <v>Other - Transfer Out</v>
          </cell>
        </row>
        <row r="53">
          <cell r="A53" t="str">
            <v>Expenses Reclassified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ob97l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7">
          <cell r="G27">
            <v>32000</v>
          </cell>
        </row>
      </sheetData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Total_BU"/>
      <sheetName val="Domestic"/>
      <sheetName val="Distributors"/>
      <sheetName val="NKA"/>
      <sheetName val="Mongolia"/>
      <sheetName val="CA"/>
      <sheetName val="Total_info"/>
      <sheetName val="Master_file"/>
      <sheetName val="Summary"/>
      <sheetName val="Events_Detail"/>
    </sheetNames>
    <sheetDataSet>
      <sheetData sheetId="0"/>
      <sheetData sheetId="1"/>
      <sheetData sheetId="2"/>
      <sheetData sheetId="3">
        <row r="9">
          <cell r="E9">
            <v>270.35386566639897</v>
          </cell>
          <cell r="F9">
            <v>277.79979231084297</v>
          </cell>
          <cell r="G9">
            <v>324.95522748745299</v>
          </cell>
          <cell r="H9">
            <v>450.74434780517601</v>
          </cell>
          <cell r="I9">
            <v>402.47524770588802</v>
          </cell>
          <cell r="J9">
            <v>460</v>
          </cell>
          <cell r="K9">
            <v>575</v>
          </cell>
          <cell r="L9">
            <v>471.63</v>
          </cell>
          <cell r="M9">
            <v>446.57</v>
          </cell>
          <cell r="N9">
            <v>470</v>
          </cell>
          <cell r="O9">
            <v>382.60857429974402</v>
          </cell>
          <cell r="P9">
            <v>419.29706772574701</v>
          </cell>
        </row>
        <row r="11">
          <cell r="E11">
            <v>310.90694551635897</v>
          </cell>
          <cell r="F11">
            <v>319.46976115746901</v>
          </cell>
          <cell r="G11">
            <v>333.65938536658098</v>
          </cell>
          <cell r="H11">
            <v>462.817857121386</v>
          </cell>
          <cell r="I11">
            <v>413.25583469801001</v>
          </cell>
          <cell r="J11">
            <v>525.44190823855104</v>
          </cell>
          <cell r="K11">
            <v>629.64754980467796</v>
          </cell>
          <cell r="L11">
            <v>420.22193733368698</v>
          </cell>
          <cell r="M11">
            <v>397.725872070305</v>
          </cell>
          <cell r="N11">
            <v>515.07068103965503</v>
          </cell>
          <cell r="O11">
            <v>392.85701825420102</v>
          </cell>
          <cell r="P11">
            <v>430.52823918268598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E13">
            <v>310.90694551635897</v>
          </cell>
          <cell r="F13">
            <v>319.46976115746901</v>
          </cell>
          <cell r="G13">
            <v>333.65938536658098</v>
          </cell>
          <cell r="H13">
            <v>462.817857121386</v>
          </cell>
          <cell r="I13">
            <v>413.25583469801001</v>
          </cell>
          <cell r="J13">
            <v>525.44190823855104</v>
          </cell>
          <cell r="K13">
            <v>629.64754980467796</v>
          </cell>
          <cell r="L13">
            <v>420.22193733368698</v>
          </cell>
          <cell r="M13">
            <v>397.725872070305</v>
          </cell>
          <cell r="N13">
            <v>515.07068103965503</v>
          </cell>
          <cell r="O13">
            <v>392.85701825420102</v>
          </cell>
          <cell r="P13">
            <v>430.52823918268598</v>
          </cell>
        </row>
        <row r="16">
          <cell r="E16">
            <v>193.18119803040383</v>
          </cell>
          <cell r="F16">
            <v>234.85116687702981</v>
          </cell>
          <cell r="G16">
            <v>243.55532475615786</v>
          </cell>
          <cell r="H16">
            <v>255.62883407236785</v>
          </cell>
          <cell r="I16">
            <v>266.40942106448983</v>
          </cell>
          <cell r="J16">
            <v>331.85132930304087</v>
          </cell>
          <cell r="K16">
            <v>386.49887910771884</v>
          </cell>
          <cell r="L16">
            <v>335.09081644140576</v>
          </cell>
          <cell r="M16">
            <v>286.24668851171072</v>
          </cell>
          <cell r="N16">
            <v>331.3173695513658</v>
          </cell>
          <cell r="O16">
            <v>341.56581350582275</v>
          </cell>
          <cell r="P16">
            <v>352.79698496276177</v>
          </cell>
        </row>
        <row r="26">
          <cell r="E26">
            <v>270.35386566639897</v>
          </cell>
          <cell r="F26">
            <v>277.79979231084297</v>
          </cell>
          <cell r="G26">
            <v>290.13859597094</v>
          </cell>
          <cell r="H26">
            <v>402.45031054033598</v>
          </cell>
          <cell r="I26">
            <v>399.35289973739998</v>
          </cell>
          <cell r="J26">
            <v>456.90600716395699</v>
          </cell>
          <cell r="K26">
            <v>547.51960852580703</v>
          </cell>
          <cell r="L26">
            <v>385.410380290163</v>
          </cell>
          <cell r="M26">
            <v>425.84858440896102</v>
          </cell>
          <cell r="N26">
            <v>407.88754873013499</v>
          </cell>
          <cell r="O26">
            <v>341.61479848191402</v>
          </cell>
          <cell r="P26">
            <v>374.37238189798802</v>
          </cell>
        </row>
        <row r="28">
          <cell r="E28">
            <v>270.35386566639897</v>
          </cell>
          <cell r="F28">
            <v>277.79979231084297</v>
          </cell>
          <cell r="G28">
            <v>290.13859597094</v>
          </cell>
          <cell r="H28">
            <v>402.45031054033598</v>
          </cell>
          <cell r="I28">
            <v>359.35289973739998</v>
          </cell>
          <cell r="J28">
            <v>456.90600716395699</v>
          </cell>
          <cell r="K28">
            <v>547.51960852580703</v>
          </cell>
          <cell r="L28">
            <v>365.410380290163</v>
          </cell>
          <cell r="M28">
            <v>345.84858440896102</v>
          </cell>
          <cell r="N28">
            <v>447.88754873013499</v>
          </cell>
          <cell r="O28">
            <v>341.61479848191402</v>
          </cell>
          <cell r="P28">
            <v>374.37238189798802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E30">
            <v>270.35386566639897</v>
          </cell>
          <cell r="F30">
            <v>277.79979231084297</v>
          </cell>
          <cell r="G30">
            <v>290.13859597094</v>
          </cell>
          <cell r="H30">
            <v>402.45031054033598</v>
          </cell>
          <cell r="I30">
            <v>359.35289973739998</v>
          </cell>
          <cell r="J30">
            <v>456.90600716395699</v>
          </cell>
          <cell r="K30">
            <v>547.51960852580703</v>
          </cell>
          <cell r="L30">
            <v>365.410380290163</v>
          </cell>
          <cell r="M30">
            <v>345.84858440896102</v>
          </cell>
          <cell r="N30">
            <v>447.88754873013499</v>
          </cell>
          <cell r="O30">
            <v>341.61479848191402</v>
          </cell>
          <cell r="P30">
            <v>374.37238189798802</v>
          </cell>
        </row>
        <row r="33">
          <cell r="E33">
            <v>252.62811818044395</v>
          </cell>
          <cell r="F33">
            <v>252.62811818044389</v>
          </cell>
          <cell r="G33">
            <v>252.62811818044389</v>
          </cell>
          <cell r="H33">
            <v>252.62811818044383</v>
          </cell>
          <cell r="I33">
            <v>212.62811818044383</v>
          </cell>
          <cell r="J33">
            <v>212.62811818044378</v>
          </cell>
          <cell r="K33">
            <v>212.62811818044372</v>
          </cell>
          <cell r="L33">
            <v>192.62811818044378</v>
          </cell>
          <cell r="M33">
            <v>112.62811818044378</v>
          </cell>
          <cell r="N33">
            <v>152.62811818044383</v>
          </cell>
          <cell r="O33">
            <v>152.62811818044383</v>
          </cell>
          <cell r="P33">
            <v>152.62811818044383</v>
          </cell>
        </row>
        <row r="45">
          <cell r="AB45">
            <v>0</v>
          </cell>
        </row>
        <row r="47">
          <cell r="D47" t="str">
            <v>SalesIN_CR</v>
          </cell>
          <cell r="E47">
            <v>278.18575199999998</v>
          </cell>
          <cell r="F47">
            <v>446.20581600000003</v>
          </cell>
          <cell r="G47">
            <v>425.92790400000001</v>
          </cell>
          <cell r="H47">
            <v>542.35144600000001</v>
          </cell>
          <cell r="I47">
            <v>406.81352800000002</v>
          </cell>
          <cell r="J47">
            <v>454.41049199999998</v>
          </cell>
          <cell r="K47">
            <v>585.58182000000204</v>
          </cell>
          <cell r="L47">
            <v>479.62600799999899</v>
          </cell>
          <cell r="M47">
            <v>343.973219999999</v>
          </cell>
          <cell r="N47">
            <v>330</v>
          </cell>
          <cell r="O47">
            <v>352.16</v>
          </cell>
          <cell r="P47">
            <v>357.84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AB49">
            <v>0</v>
          </cell>
        </row>
        <row r="52">
          <cell r="E52">
            <v>263.68330367599998</v>
          </cell>
          <cell r="F52">
            <v>212.22875330632701</v>
          </cell>
          <cell r="G52">
            <v>258.08084627686901</v>
          </cell>
          <cell r="H52">
            <v>258.29061016482001</v>
          </cell>
          <cell r="I52">
            <v>206.67521134831199</v>
          </cell>
          <cell r="J52">
            <v>205.00732726432801</v>
          </cell>
          <cell r="K52">
            <v>249.63333692536</v>
          </cell>
          <cell r="L52">
            <v>356.937150812276</v>
          </cell>
          <cell r="M52">
            <v>367.69166670773399</v>
          </cell>
          <cell r="N52">
            <v>257.08640662006292</v>
          </cell>
          <cell r="O52">
            <v>249.246406620063</v>
          </cell>
          <cell r="P52">
            <v>252.62811818044389</v>
          </cell>
        </row>
      </sheetData>
      <sheetData sheetId="4"/>
      <sheetData sheetId="5"/>
      <sheetData sheetId="6"/>
      <sheetData sheetId="7"/>
      <sheetData sheetId="8">
        <row r="2">
          <cell r="A2" t="str">
            <v>Alpen Gold Tablets</v>
          </cell>
          <cell r="O2" t="str">
            <v>Demand_var1</v>
          </cell>
        </row>
        <row r="3">
          <cell r="A3" t="str">
            <v>Barny Soft Cakes</v>
          </cell>
          <cell r="O3" t="str">
            <v>Demand_var2</v>
          </cell>
        </row>
        <row r="4">
          <cell r="A4" t="str">
            <v>Bolshevik Traditional RMB</v>
          </cell>
        </row>
        <row r="5">
          <cell r="A5" t="str">
            <v>Carte Noire Beans</v>
          </cell>
        </row>
        <row r="6">
          <cell r="A6" t="str">
            <v>Carte Noire FD</v>
          </cell>
        </row>
        <row r="7">
          <cell r="A7" t="str">
            <v>Carte Noire R&amp;G</v>
          </cell>
        </row>
        <row r="8">
          <cell r="A8" t="str">
            <v>Chocobarocco LB</v>
          </cell>
        </row>
        <row r="9">
          <cell r="A9" t="str">
            <v>Chudniy Vecher Pralines</v>
          </cell>
        </row>
        <row r="10">
          <cell r="A10" t="str">
            <v>Composition Pralines</v>
          </cell>
        </row>
        <row r="11">
          <cell r="A11" t="str">
            <v>Cote D'Or Pralines</v>
          </cell>
        </row>
        <row r="12">
          <cell r="A12" t="str">
            <v>Cote D'Or Tablets</v>
          </cell>
        </row>
        <row r="13">
          <cell r="A13" t="str">
            <v>Estrella Chips</v>
          </cell>
        </row>
        <row r="14">
          <cell r="A14" t="str">
            <v>Jacobs Cappuccino</v>
          </cell>
        </row>
        <row r="15">
          <cell r="A15" t="str">
            <v>Jacobs Maxim FD</v>
          </cell>
        </row>
        <row r="16">
          <cell r="A16" t="str">
            <v>Jubilee Gingerbreads</v>
          </cell>
        </row>
        <row r="17">
          <cell r="A17" t="str">
            <v>Jubilee Glazed RMB</v>
          </cell>
        </row>
        <row r="18">
          <cell r="A18" t="str">
            <v>Jubilee Lakomstvo RMB</v>
          </cell>
        </row>
        <row r="19">
          <cell r="A19" t="str">
            <v>Jubilee Morning RMB</v>
          </cell>
        </row>
        <row r="20">
          <cell r="A20" t="str">
            <v>Jubilee Soft Cakes</v>
          </cell>
        </row>
        <row r="21">
          <cell r="A21" t="str">
            <v>Jubilee Traditional RMB</v>
          </cell>
        </row>
        <row r="22">
          <cell r="A22" t="str">
            <v>Little Hearts LB</v>
          </cell>
        </row>
        <row r="23">
          <cell r="A23" t="str">
            <v>Liubimiy Wafer Cakes</v>
          </cell>
        </row>
        <row r="24">
          <cell r="A24" t="str">
            <v>Maxim FD</v>
          </cell>
        </row>
        <row r="25">
          <cell r="A25" t="str">
            <v>Maxwell House 3 in 1</v>
          </cell>
        </row>
        <row r="26">
          <cell r="A26" t="str">
            <v>Maxwell House Agglo</v>
          </cell>
        </row>
        <row r="27">
          <cell r="A27" t="str">
            <v>Maxwell House Powder</v>
          </cell>
        </row>
        <row r="28">
          <cell r="A28" t="str">
            <v>Milka Tablets</v>
          </cell>
        </row>
        <row r="29">
          <cell r="A29" t="str">
            <v>Monarch 3 in 1</v>
          </cell>
        </row>
        <row r="30">
          <cell r="A30" t="str">
            <v>Monarch Beans</v>
          </cell>
        </row>
        <row r="31">
          <cell r="A31" t="str">
            <v>Monarch FD</v>
          </cell>
        </row>
        <row r="32">
          <cell r="A32" t="str">
            <v>Monarch R&amp;G</v>
          </cell>
        </row>
        <row r="33">
          <cell r="A33" t="str">
            <v>Night &amp; Day FD</v>
          </cell>
        </row>
        <row r="34">
          <cell r="A34" t="str">
            <v>Prichuda Soft Biscuits</v>
          </cell>
        </row>
        <row r="35">
          <cell r="A35" t="str">
            <v>Prichuda Wafer Cakes</v>
          </cell>
        </row>
        <row r="36">
          <cell r="A36" t="str">
            <v>Prichuda Wafers</v>
          </cell>
        </row>
        <row r="37">
          <cell r="A37" t="str">
            <v>Toblerone Tablets</v>
          </cell>
        </row>
        <row r="38">
          <cell r="A38" t="str">
            <v>Tornado Rolls</v>
          </cell>
        </row>
        <row r="39">
          <cell r="A39" t="str">
            <v>Velvets Pralines</v>
          </cell>
        </row>
        <row r="40">
          <cell r="A40" t="str">
            <v>Vozdushny Tablets</v>
          </cell>
        </row>
      </sheetData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TRY TOTAL"/>
      <sheetName val="KA total"/>
      <sheetName val="BKA"/>
      <sheetName val="RKA"/>
      <sheetName val="ChV"/>
      <sheetName val="BMK"/>
      <sheetName val="BTO"/>
      <sheetName val="BAG"/>
      <sheetName val="BVZ"/>
      <sheetName val="SES"/>
      <sheetName val="SCN"/>
      <sheetName val="MN total"/>
      <sheetName val="SMN"/>
      <sheetName val="RMN"/>
      <sheetName val="XMN"/>
      <sheetName val="MH total"/>
      <sheetName val="SMH"/>
      <sheetName val="XMH"/>
      <sheetName val="MAXIM"/>
      <sheetName val="RTD"/>
      <sheetName val="CDM"/>
      <sheetName val="CNTRY TOTAL by month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0">
          <cell r="B20">
            <v>1000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Qtr"/>
      <sheetName val="Full year"/>
      <sheetName val="R&amp;O"/>
    </sheetNames>
    <sheetDataSet>
      <sheetData sheetId="0"/>
      <sheetData sheetId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Total_BU"/>
      <sheetName val="Domestic"/>
      <sheetName val="Distributors"/>
      <sheetName val="NKA"/>
      <sheetName val="Mongolia"/>
      <sheetName val="CA"/>
      <sheetName val="Total_info"/>
      <sheetName val="Master_file"/>
      <sheetName val="Events_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oodruff"/>
      <sheetName val="Walkthrough"/>
      <sheetName val="OIVariance"/>
      <sheetName val="UC&amp;OI Overview"/>
      <sheetName val="CEEG"/>
      <sheetName val="Brand Information"/>
      <sheetName val="P&amp;L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erformance goals"/>
      <sheetName val="Walkthrough"/>
      <sheetName val="UC&amp;UI overview"/>
      <sheetName val="OI Variance"/>
      <sheetName val="Brand Split"/>
      <sheetName val="Key Indicators"/>
      <sheetName val="Executive Ratios"/>
      <sheetName val="FY YTD ROY Infor"/>
      <sheetName val="Quarter infor"/>
      <sheetName val="Brand contribution comp"/>
      <sheetName val="Brand contribution 2"/>
      <sheetName val="R&amp;O - template"/>
      <sheetName val="DME status"/>
      <sheetName val="Graphs"/>
      <sheetName val="PL Overview"/>
      <sheetName val="PL Overview Q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я"/>
      <sheetName val="СЗ для КМС  new"/>
      <sheetName val="СЗ для КМС"/>
      <sheetName val="ПАСПОРТ"/>
      <sheetName val="ЭК РАСЧЕТ (мск) "/>
      <sheetName val="15P&amp;L-прод. линия"/>
      <sheetName val="ФРК финансы"/>
      <sheetName val="ФРК СКИДКИ 1"/>
      <sheetName val="ЭК РАСЧЕТ (спб) "/>
      <sheetName val="старый Реестр (мск )"/>
      <sheetName val="старый Реестр (спб)"/>
      <sheetName val="ЦФО"/>
      <sheetName val="инфо для списков"/>
      <sheetName val="3. Список клиентов"/>
      <sheetName val="названия 02022015"/>
      <sheetName val="названия01102015"/>
      <sheetName val="item SuperItem"/>
      <sheetName val="тип промо"/>
      <sheetName val="Лист3"/>
      <sheetName val="02092015"/>
      <sheetName val="СПБ рассылка"/>
      <sheetName val="история"/>
      <sheetName val="Номинал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D2" t="str">
            <v>Прайс промо</v>
          </cell>
          <cell r="F2" t="str">
            <v>ВСЕ КЛИЕНТЫ КАНАЛА</v>
          </cell>
          <cell r="G2" t="str">
            <v>Федерально</v>
          </cell>
        </row>
        <row r="3">
          <cell r="D3" t="str">
            <v>Прайс промо+ Листовка/каталог</v>
          </cell>
          <cell r="F3" t="str">
            <v>X5 Retail Group</v>
          </cell>
          <cell r="G3" t="str">
            <v>Москва</v>
          </cell>
        </row>
        <row r="4">
          <cell r="D4" t="str">
            <v>Прайс промо+ Листовка/каталог+ ДМП</v>
          </cell>
          <cell r="F4" t="str">
            <v>АВОСЬКА</v>
          </cell>
          <cell r="G4" t="str">
            <v>СПб</v>
          </cell>
        </row>
        <row r="5">
          <cell r="D5" t="str">
            <v>Прайс промо + ДМП</v>
          </cell>
          <cell r="F5" t="str">
            <v>АЗБУКА ВКУСА</v>
          </cell>
          <cell r="G5" t="str">
            <v>Северо-запад</v>
          </cell>
        </row>
        <row r="6">
          <cell r="D6" t="str">
            <v>Листовка/каталогах/меню</v>
          </cell>
          <cell r="F6" t="str">
            <v>АЛМИ</v>
          </cell>
          <cell r="G6" t="str">
            <v>Центр</v>
          </cell>
        </row>
        <row r="7">
          <cell r="D7" t="str">
            <v>Промонаборы</v>
          </cell>
          <cell r="F7" t="str">
            <v>АЛЫЕ ПАРУСА</v>
          </cell>
          <cell r="G7" t="str">
            <v>Волга</v>
          </cell>
        </row>
        <row r="8">
          <cell r="D8" t="str">
            <v>Мотивация сотрудников Симпл</v>
          </cell>
          <cell r="F8" t="str">
            <v>АРОМА Москва</v>
          </cell>
          <cell r="G8" t="str">
            <v>Урал</v>
          </cell>
        </row>
        <row r="9">
          <cell r="D9" t="str">
            <v>Мотивация сотрудников Партнеров</v>
          </cell>
          <cell r="F9" t="str">
            <v>АРОМА Спб</v>
          </cell>
          <cell r="G9" t="str">
            <v>Юг</v>
          </cell>
        </row>
        <row r="10">
          <cell r="D10" t="str">
            <v>Дегустация</v>
          </cell>
          <cell r="F10" t="str">
            <v>АРОМАТНЫЙ МИР</v>
          </cell>
          <cell r="G10" t="str">
            <v>Сибирь</v>
          </cell>
        </row>
        <row r="11">
          <cell r="D11" t="str">
            <v>Промоутеры</v>
          </cell>
          <cell r="F11" t="str">
            <v>АТАК</v>
          </cell>
          <cell r="G11" t="str">
            <v>Дальний Восток</v>
          </cell>
        </row>
        <row r="12">
          <cell r="D12" t="str">
            <v xml:space="preserve">Банкетное предложение </v>
          </cell>
          <cell r="F12" t="str">
            <v>АШАН</v>
          </cell>
          <cell r="G12" t="str">
            <v>МСК и СПБ</v>
          </cell>
        </row>
        <row r="13">
          <cell r="F13" t="str">
            <v xml:space="preserve">БАХЕТЛЕ </v>
          </cell>
        </row>
        <row r="14">
          <cell r="F14" t="str">
            <v xml:space="preserve">БИНА </v>
          </cell>
        </row>
        <row r="15">
          <cell r="F15" t="str">
            <v>ГЛОБУС ГУРМЭ</v>
          </cell>
        </row>
        <row r="16">
          <cell r="F16" t="str">
            <v>ДИКСИ</v>
          </cell>
        </row>
        <row r="17">
          <cell r="F17" t="str">
            <v>ЗЕЛЬГРОС</v>
          </cell>
        </row>
        <row r="18">
          <cell r="F18" t="str">
            <v>ЛЕНТА</v>
          </cell>
        </row>
        <row r="19">
          <cell r="F19" t="str">
            <v>ЛЭНД</v>
          </cell>
        </row>
        <row r="20">
          <cell r="F20" t="str">
            <v>ЛЮБАВУШКА</v>
          </cell>
        </row>
        <row r="21">
          <cell r="F21" t="str">
            <v>МЕТРО</v>
          </cell>
        </row>
        <row r="22">
          <cell r="F22" t="str">
            <v xml:space="preserve">НОРМА </v>
          </cell>
        </row>
        <row r="23">
          <cell r="F23" t="str">
            <v>О'КЕЙ</v>
          </cell>
        </row>
        <row r="24">
          <cell r="F24" t="str">
            <v>ОТДОХНИ-77</v>
          </cell>
        </row>
        <row r="25">
          <cell r="F25" t="str">
            <v>РЕАЛ</v>
          </cell>
        </row>
        <row r="26">
          <cell r="F26" t="str">
            <v>СЕДЬМОЙ КОНТИНЕНТ</v>
          </cell>
        </row>
        <row r="27">
          <cell r="F27" t="str">
            <v>СИТИ РИТЕЙЛ</v>
          </cell>
        </row>
        <row r="28">
          <cell r="F28" t="str">
            <v>СОТКА</v>
          </cell>
        </row>
        <row r="29">
          <cell r="F29" t="str">
            <v>СПАР</v>
          </cell>
        </row>
        <row r="30">
          <cell r="F30" t="str">
            <v>СТОКМАНН</v>
          </cell>
        </row>
        <row r="31">
          <cell r="F31" t="str">
            <v>СУПЕР БАБИЛОН СПБ</v>
          </cell>
        </row>
        <row r="32">
          <cell r="F32" t="str">
            <v>СУПЕР СИВА</v>
          </cell>
        </row>
        <row r="33">
          <cell r="F33" t="str">
            <v>ТВОЙ ДОМ</v>
          </cell>
        </row>
        <row r="34">
          <cell r="F34" t="str">
            <v>Дистрибьютеры</v>
          </cell>
        </row>
        <row r="35">
          <cell r="F35" t="str">
            <v>ЧК</v>
          </cell>
        </row>
        <row r="36">
          <cell r="F36" t="str">
            <v>Хорека</v>
          </cell>
        </row>
        <row r="37">
          <cell r="F37" t="str">
            <v>Лок.сети (регионы)</v>
          </cell>
        </row>
        <row r="38">
          <cell r="F38" t="str">
            <v>Розница Москва</v>
          </cell>
        </row>
        <row r="39">
          <cell r="F39" t="str">
            <v>РОСТ (Дистрибьютор Рост)</v>
          </cell>
        </row>
        <row r="40">
          <cell r="F40" t="str">
            <v>СУПЕР-БАБИЛОН</v>
          </cell>
        </row>
        <row r="41">
          <cell r="F41" t="str">
            <v>ЛЭНД</v>
          </cell>
        </row>
        <row r="42">
          <cell r="F42" t="str">
            <v>СТОКМАНН СПБ</v>
          </cell>
        </row>
        <row r="43">
          <cell r="F43" t="str">
            <v>Пулковский универсам</v>
          </cell>
        </row>
        <row r="44">
          <cell r="F44" t="str">
            <v>Петроторг</v>
          </cell>
        </row>
        <row r="45">
          <cell r="F45" t="str">
            <v>Полнолуние (Гастроном "Династия")</v>
          </cell>
        </row>
        <row r="46">
          <cell r="F46" t="str">
            <v>КАЛЕЙДОСКОП НАПИТКОВ МИРА</v>
          </cell>
        </row>
        <row r="47">
          <cell r="F47" t="str">
            <v>Нева Маркет (Универсам "Сопот")</v>
          </cell>
        </row>
        <row r="48">
          <cell r="F48" t="str">
            <v>ЛАЙМ</v>
          </cell>
        </row>
        <row r="49">
          <cell r="F49" t="str">
            <v>Невский универсам</v>
          </cell>
        </row>
        <row r="50">
          <cell r="F50" t="str">
            <v>НОРМАН-НЕВА</v>
          </cell>
        </row>
        <row r="51">
          <cell r="F51" t="str">
            <v>БИНА</v>
          </cell>
        </row>
        <row r="52">
          <cell r="F52" t="str">
            <v>ДИКСИ СПБ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М план Окей 2012FY"/>
      <sheetName val="ТМ план Метро 2012FY"/>
      <sheetName val="ТМ план Ашан 2012FY"/>
      <sheetName val="ТМ план X5 2012FY"/>
      <sheetName val="ТМ план Лента 2012FY"/>
      <sheetName val="ТМ план АМ Москва 2012FY"/>
      <sheetName val="ТМ план АМ СПб 2012FY"/>
      <sheetName val="Списки"/>
      <sheetName val="инфо для списков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>
        <row r="2">
          <cell r="A2" t="str">
            <v>Паллета</v>
          </cell>
        </row>
        <row r="3">
          <cell r="A3" t="str">
            <v>Фальш паллета</v>
          </cell>
        </row>
        <row r="4">
          <cell r="A4" t="str">
            <v>Стойки/Шкафы/Оборудование</v>
          </cell>
        </row>
        <row r="5">
          <cell r="A5" t="str">
            <v>Реклама в листовках/каталогах</v>
          </cell>
          <cell r="B5">
            <v>0.2</v>
          </cell>
          <cell r="C5">
            <v>1</v>
          </cell>
        </row>
        <row r="6">
          <cell r="A6" t="str">
            <v>Прайс промо</v>
          </cell>
          <cell r="B6">
            <v>0.1</v>
          </cell>
          <cell r="C6">
            <v>0.5</v>
          </cell>
        </row>
        <row r="7">
          <cell r="A7" t="str">
            <v>Размещение POS…</v>
          </cell>
          <cell r="B7">
            <v>0</v>
          </cell>
          <cell r="C7">
            <v>0.2</v>
          </cell>
        </row>
        <row r="8">
          <cell r="A8" t="str">
            <v>Промонаборы</v>
          </cell>
        </row>
        <row r="9">
          <cell r="A9" t="str">
            <v>Дегустация</v>
          </cell>
          <cell r="B9">
            <v>0</v>
          </cell>
          <cell r="C9">
            <v>0.2</v>
          </cell>
        </row>
        <row r="10">
          <cell r="A10" t="str">
            <v>Промоутеры</v>
          </cell>
        </row>
        <row r="11">
          <cell r="A11" t="str">
            <v>Мотивация внешнего персонала</v>
          </cell>
        </row>
        <row r="12">
          <cell r="A12" t="str">
            <v>Ввод в ассортимент</v>
          </cell>
        </row>
        <row r="13">
          <cell r="A13" t="str">
            <v>Плата за открытие новых магазинов</v>
          </cell>
        </row>
        <row r="14">
          <cell r="A14" t="str">
            <v>Вино недели</v>
          </cell>
          <cell r="B14">
            <v>0</v>
          </cell>
          <cell r="C14">
            <v>0.2</v>
          </cell>
        </row>
      </sheetData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ФВ"/>
    </sheetNames>
    <sheetDataSet>
      <sheetData sheetId="0">
        <row r="2">
          <cell r="D2" t="str">
            <v>Стат. Унификатор</v>
          </cell>
          <cell r="E2" t="str">
            <v>Унификатор</v>
          </cell>
          <cell r="F2" t="str">
            <v>Наименование на русском</v>
          </cell>
          <cell r="G2" t="str">
            <v>БПЛ</v>
          </cell>
          <cell r="H2" t="str">
            <v>ПРОМО скидка от БПЛ</v>
          </cell>
          <cell r="I2" t="str">
            <v>ПРОМО скидка от БПЛ</v>
          </cell>
        </row>
        <row r="3">
          <cell r="D3" t="str">
            <v>s001435</v>
          </cell>
          <cell r="E3" t="str">
            <v>s158140</v>
          </cell>
          <cell r="F3" t="str">
            <v>ТИНИ Россо Терре Сичилиане новый дизайн</v>
          </cell>
          <cell r="G3">
            <v>1514.88</v>
          </cell>
          <cell r="H3">
            <v>54</v>
          </cell>
          <cell r="I3">
            <v>0</v>
          </cell>
        </row>
        <row r="4">
          <cell r="D4" t="str">
            <v>s150849</v>
          </cell>
          <cell r="E4" t="str">
            <v>s156900</v>
          </cell>
          <cell r="F4" t="str">
            <v>Муцци Пино Гриджо</v>
          </cell>
          <cell r="G4">
            <v>1413.21</v>
          </cell>
          <cell r="H4">
            <v>52</v>
          </cell>
          <cell r="I4">
            <v>0</v>
          </cell>
        </row>
        <row r="5">
          <cell r="D5" t="str">
            <v>s140929</v>
          </cell>
          <cell r="E5" t="str">
            <v>s160211</v>
          </cell>
          <cell r="F5" t="str">
            <v xml:space="preserve">Дафне Виньярдс Спиритс Гарнача </v>
          </cell>
          <cell r="G5">
            <v>1667.38</v>
          </cell>
          <cell r="H5">
            <v>53</v>
          </cell>
          <cell r="I5">
            <v>0</v>
          </cell>
        </row>
        <row r="6">
          <cell r="D6" t="str">
            <v>s97355</v>
          </cell>
          <cell r="E6" t="str">
            <v>s155992</v>
          </cell>
          <cell r="F6" t="str">
            <v>Бруни Монтепульчано д'Абруццо</v>
          </cell>
          <cell r="G6">
            <v>1514.88</v>
          </cell>
          <cell r="H6">
            <v>53</v>
          </cell>
          <cell r="I6">
            <v>0</v>
          </cell>
        </row>
        <row r="7">
          <cell r="D7" t="str">
            <v>s88329</v>
          </cell>
          <cell r="E7" t="str">
            <v>s154783</v>
          </cell>
          <cell r="F7" t="str">
            <v>Кьянти</v>
          </cell>
          <cell r="G7">
            <v>1921.56</v>
          </cell>
          <cell r="H7">
            <v>55</v>
          </cell>
          <cell r="I7">
            <v>0</v>
          </cell>
        </row>
        <row r="8">
          <cell r="D8" t="str">
            <v>s001419</v>
          </cell>
          <cell r="E8" t="str">
            <v>s158128</v>
          </cell>
          <cell r="F8" t="str">
            <v>ТИНИ Треббьяно Романья</v>
          </cell>
          <cell r="G8">
            <v>1514.88</v>
          </cell>
          <cell r="H8">
            <v>54</v>
          </cell>
          <cell r="I8">
            <v>0</v>
          </cell>
        </row>
        <row r="9">
          <cell r="D9" t="str">
            <v>s150850</v>
          </cell>
          <cell r="E9" t="str">
            <v>s157276</v>
          </cell>
          <cell r="F9" t="str">
            <v>Муцци Москато</v>
          </cell>
          <cell r="G9">
            <v>1413.21</v>
          </cell>
          <cell r="H9">
            <v>52</v>
          </cell>
          <cell r="I9">
            <v>0</v>
          </cell>
        </row>
        <row r="10">
          <cell r="D10" t="str">
            <v>s113952</v>
          </cell>
          <cell r="E10" t="str">
            <v>s159900</v>
          </cell>
          <cell r="F10" t="str">
            <v>Риго Риго Шенен Блан (Вестерн Кейп)</v>
          </cell>
          <cell r="G10">
            <v>1209.8699999999999</v>
          </cell>
          <cell r="H10">
            <v>55</v>
          </cell>
          <cell r="I10">
            <v>0</v>
          </cell>
        </row>
        <row r="11">
          <cell r="D11" t="str">
            <v>s113531</v>
          </cell>
          <cell r="E11" t="str">
            <v>s158653</v>
          </cell>
          <cell r="F11" t="str">
            <v>Трапиче Оук Каск Шардоне (Мендоса)</v>
          </cell>
          <cell r="G11">
            <v>1921.56</v>
          </cell>
          <cell r="H11">
            <v>55</v>
          </cell>
          <cell r="I11">
            <v>0</v>
          </cell>
        </row>
        <row r="12">
          <cell r="D12" t="str">
            <v>s138439</v>
          </cell>
          <cell r="E12" t="str">
            <v>s147415</v>
          </cell>
          <cell r="F12" t="str">
            <v>Бруни Кюве Розе</v>
          </cell>
          <cell r="G12">
            <v>1667.38</v>
          </cell>
          <cell r="H12">
            <v>55</v>
          </cell>
          <cell r="I12">
            <v>0</v>
          </cell>
        </row>
        <row r="13">
          <cell r="D13" t="str">
            <v>s005794</v>
          </cell>
          <cell r="E13" t="str">
            <v>s159957</v>
          </cell>
          <cell r="F13" t="str">
            <v>Санте Риве Соаве винтовая пробка</v>
          </cell>
          <cell r="G13">
            <v>1819.89</v>
          </cell>
          <cell r="H13">
            <v>53</v>
          </cell>
          <cell r="I13">
            <v>0</v>
          </cell>
        </row>
        <row r="14">
          <cell r="D14" t="str">
            <v>s141064</v>
          </cell>
          <cell r="E14" t="str">
            <v>s158003</v>
          </cell>
          <cell r="F14" t="str">
            <v>Совиньон Блан Семильон</v>
          </cell>
          <cell r="G14">
            <v>2023.23</v>
          </cell>
          <cell r="H14">
            <v>52</v>
          </cell>
          <cell r="I14">
            <v>0</v>
          </cell>
        </row>
        <row r="15">
          <cell r="D15" t="str">
            <v>s149643</v>
          </cell>
          <cell r="E15" t="str">
            <v>s149643</v>
          </cell>
          <cell r="F15" t="str">
            <v>Ритмо Латино Брют</v>
          </cell>
          <cell r="G15">
            <v>2023.23</v>
          </cell>
          <cell r="H15">
            <v>52</v>
          </cell>
          <cell r="I15">
            <v>0</v>
          </cell>
        </row>
        <row r="16">
          <cell r="D16" t="str">
            <v>s005704</v>
          </cell>
          <cell r="E16" t="str">
            <v>s158250</v>
          </cell>
          <cell r="F16" t="str">
            <v>Фрескелло Розе дизайн 2024</v>
          </cell>
          <cell r="G16">
            <v>1413.21</v>
          </cell>
          <cell r="H16">
            <v>52</v>
          </cell>
          <cell r="I16">
            <v>0</v>
          </cell>
        </row>
        <row r="17">
          <cell r="D17" t="str">
            <v>s110112</v>
          </cell>
          <cell r="E17" t="str">
            <v>s158121</v>
          </cell>
          <cell r="F17" t="str">
            <v>Бруни Греканико Пино Гриджо</v>
          </cell>
          <cell r="G17">
            <v>1514.88</v>
          </cell>
          <cell r="H17">
            <v>53</v>
          </cell>
          <cell r="I17">
            <v>0</v>
          </cell>
        </row>
        <row r="18">
          <cell r="D18" t="str">
            <v>s105219</v>
          </cell>
          <cell r="E18" t="str">
            <v>s157314</v>
          </cell>
          <cell r="F18" t="str">
            <v>ТИНИ Розе (Эмилия-Романия) новый дизайн</v>
          </cell>
          <cell r="G18">
            <v>1514.88</v>
          </cell>
          <cell r="H18">
            <v>54</v>
          </cell>
          <cell r="I18">
            <v>0</v>
          </cell>
        </row>
        <row r="19">
          <cell r="D19" t="str">
            <v>s001410</v>
          </cell>
          <cell r="E19" t="str">
            <v>s158122</v>
          </cell>
          <cell r="F19" t="str">
            <v xml:space="preserve">ТИНИ Бьянко новый дизайн </v>
          </cell>
          <cell r="G19">
            <v>1413.21</v>
          </cell>
          <cell r="H19">
            <v>54</v>
          </cell>
          <cell r="I19">
            <v>0</v>
          </cell>
        </row>
        <row r="20">
          <cell r="D20" t="str">
            <v>s113530</v>
          </cell>
          <cell r="E20" t="str">
            <v>s160068</v>
          </cell>
          <cell r="F20" t="str">
            <v>Трапиче Каберне Совиньон (Мендоса)</v>
          </cell>
          <cell r="G20">
            <v>1514.88</v>
          </cell>
          <cell r="H20">
            <v>53</v>
          </cell>
          <cell r="I20">
            <v>0</v>
          </cell>
        </row>
        <row r="21">
          <cell r="D21" t="str">
            <v>s91693</v>
          </cell>
          <cell r="E21" t="str">
            <v>s137288</v>
          </cell>
          <cell r="F21" t="str">
            <v>Кампо Делия Ла Манча Айрен</v>
          </cell>
          <cell r="G21">
            <v>1464.04</v>
          </cell>
          <cell r="H21">
            <v>55</v>
          </cell>
          <cell r="I21">
            <v>0</v>
          </cell>
        </row>
        <row r="22">
          <cell r="D22" t="str">
            <v>s107565</v>
          </cell>
          <cell r="E22" t="str">
            <v>s154671</v>
          </cell>
          <cell r="F22" t="str">
            <v>Кава Дос Капричос</v>
          </cell>
          <cell r="G22">
            <v>2226.5700000000002</v>
          </cell>
          <cell r="H22">
            <v>53</v>
          </cell>
          <cell r="I22">
            <v>0</v>
          </cell>
        </row>
        <row r="23">
          <cell r="D23" t="str">
            <v>s147157</v>
          </cell>
          <cell r="E23" t="str">
            <v>s160101</v>
          </cell>
          <cell r="F23" t="str">
            <v xml:space="preserve">Дафне Виньярдс Спиритс Шардоне </v>
          </cell>
          <cell r="G23">
            <v>1667.38</v>
          </cell>
          <cell r="H23">
            <v>53</v>
          </cell>
          <cell r="I23">
            <v>0</v>
          </cell>
        </row>
        <row r="24">
          <cell r="D24" t="str">
            <v>s005705</v>
          </cell>
          <cell r="E24" t="str">
            <v>s158251</v>
          </cell>
          <cell r="F24" t="str">
            <v xml:space="preserve">Фрескелло Россо </v>
          </cell>
          <cell r="G24">
            <v>1413.21</v>
          </cell>
          <cell r="H24">
            <v>52</v>
          </cell>
          <cell r="I24">
            <v>0</v>
          </cell>
        </row>
        <row r="25">
          <cell r="D25" t="str">
            <v>s102114</v>
          </cell>
          <cell r="E25" t="str">
            <v>s159648</v>
          </cell>
          <cell r="F25" t="str">
            <v>Стейквайн Мальбек (Мендоса)</v>
          </cell>
          <cell r="G25">
            <v>1260.7</v>
          </cell>
          <cell r="H25">
            <v>55</v>
          </cell>
          <cell r="I25">
            <v>0</v>
          </cell>
        </row>
        <row r="26">
          <cell r="D26" t="str">
            <v>s113529</v>
          </cell>
          <cell r="E26" t="str">
            <v>s160048</v>
          </cell>
          <cell r="F26" t="str">
            <v>Трапиче Мальбек (Мендоса)</v>
          </cell>
          <cell r="G26">
            <v>1514.88</v>
          </cell>
          <cell r="H26">
            <v>53</v>
          </cell>
          <cell r="I26">
            <v>0</v>
          </cell>
        </row>
        <row r="27">
          <cell r="D27" t="str">
            <v>s113953</v>
          </cell>
          <cell r="E27" t="str">
            <v>s159899</v>
          </cell>
          <cell r="F27" t="str">
            <v>Риго Риго Пинотаж</v>
          </cell>
          <cell r="G27">
            <v>1209.8699999999999</v>
          </cell>
          <cell r="H27">
            <v>55</v>
          </cell>
          <cell r="I27">
            <v>0</v>
          </cell>
        </row>
        <row r="28">
          <cell r="D28" t="str">
            <v>s88772</v>
          </cell>
          <cell r="E28" t="str">
            <v>s157971</v>
          </cell>
          <cell r="F28" t="str">
            <v>Фрескелло Фризанте Розато. белая бутылка</v>
          </cell>
          <cell r="G28">
            <v>1616.55</v>
          </cell>
          <cell r="H28">
            <v>55</v>
          </cell>
          <cell r="I28">
            <v>0</v>
          </cell>
        </row>
        <row r="29">
          <cell r="D29" t="str">
            <v>s001414</v>
          </cell>
          <cell r="E29" t="str">
            <v>s158135</v>
          </cell>
          <cell r="F29" t="str">
            <v xml:space="preserve">ТИНИ Монтепульчано д'Абруццо новый дизайн </v>
          </cell>
          <cell r="G29">
            <v>1514.88</v>
          </cell>
          <cell r="H29">
            <v>54</v>
          </cell>
          <cell r="I29">
            <v>0</v>
          </cell>
        </row>
        <row r="30">
          <cell r="D30" t="str">
            <v>s005699</v>
          </cell>
          <cell r="E30" t="str">
            <v>s157970</v>
          </cell>
          <cell r="F30" t="str">
            <v>Фрескелло Фризанте Бьянко Дизайн 2024</v>
          </cell>
          <cell r="G30">
            <v>1616.55</v>
          </cell>
          <cell r="H30">
            <v>55</v>
          </cell>
          <cell r="I30">
            <v>0</v>
          </cell>
        </row>
        <row r="31">
          <cell r="D31" t="str">
            <v>s113527</v>
          </cell>
          <cell r="E31" t="str">
            <v>s158657</v>
          </cell>
          <cell r="F31" t="str">
            <v>Трапиче Совиньон Блан (Мендоса)</v>
          </cell>
          <cell r="G31">
            <v>1514.88</v>
          </cell>
          <cell r="H31">
            <v>53</v>
          </cell>
          <cell r="I31">
            <v>0</v>
          </cell>
        </row>
        <row r="32">
          <cell r="D32" t="str">
            <v>s149644</v>
          </cell>
          <cell r="E32" t="str">
            <v>s149644</v>
          </cell>
          <cell r="F32" t="str">
            <v>Ритмо Латино Розе</v>
          </cell>
          <cell r="G32">
            <v>2023.23</v>
          </cell>
          <cell r="H32">
            <v>52</v>
          </cell>
          <cell r="I32">
            <v>0</v>
          </cell>
        </row>
        <row r="33">
          <cell r="D33" t="str">
            <v>s88007</v>
          </cell>
          <cell r="E33" t="str">
            <v>s158254</v>
          </cell>
          <cell r="F33" t="str">
            <v>Фрескелло Семи Свит Уайт Дизайн 2024</v>
          </cell>
          <cell r="G33">
            <v>1464.04</v>
          </cell>
          <cell r="H33">
            <v>53</v>
          </cell>
          <cell r="I33">
            <v>0</v>
          </cell>
        </row>
        <row r="34">
          <cell r="D34" t="str">
            <v>s005702</v>
          </cell>
          <cell r="E34" t="str">
            <v>s158249</v>
          </cell>
          <cell r="F34" t="str">
            <v>Фрескелло Бьянко Новый Дизайн</v>
          </cell>
          <cell r="G34">
            <v>1413.21</v>
          </cell>
          <cell r="H34">
            <v>52</v>
          </cell>
          <cell r="I34">
            <v>0</v>
          </cell>
        </row>
        <row r="35">
          <cell r="D35" t="str">
            <v>s148197</v>
          </cell>
          <cell r="E35" t="str">
            <v>s158336</v>
          </cell>
          <cell r="F35" t="str">
            <v>Гезэринг Сторм вино красное</v>
          </cell>
          <cell r="G35">
            <v>1616.55</v>
          </cell>
          <cell r="H35">
            <v>50</v>
          </cell>
          <cell r="I35">
            <v>0</v>
          </cell>
        </row>
        <row r="36">
          <cell r="D36" t="str">
            <v>s101571</v>
          </cell>
          <cell r="E36" t="str">
            <v>s159055</v>
          </cell>
          <cell r="F36" t="str">
            <v>Ле Гран Нуар Шардоне</v>
          </cell>
          <cell r="G36">
            <v>1718.22</v>
          </cell>
          <cell r="H36">
            <v>50</v>
          </cell>
          <cell r="I36">
            <v>0</v>
          </cell>
        </row>
        <row r="37">
          <cell r="D37" t="str">
            <v>s102115</v>
          </cell>
          <cell r="E37" t="str">
            <v>s159267</v>
          </cell>
          <cell r="F37" t="str">
            <v>Стейквайн Шардоне (Мендоса)</v>
          </cell>
          <cell r="G37">
            <v>1260.7</v>
          </cell>
          <cell r="H37">
            <v>55</v>
          </cell>
          <cell r="I37">
            <v>0</v>
          </cell>
        </row>
        <row r="38">
          <cell r="D38" t="str">
            <v>s155911</v>
          </cell>
          <cell r="E38" t="str">
            <v>s160425</v>
          </cell>
          <cell r="F38" t="str">
            <v>Их Бин Рислинг</v>
          </cell>
          <cell r="G38">
            <v>1690</v>
          </cell>
          <cell r="H38">
            <v>53</v>
          </cell>
          <cell r="I38">
            <v>0</v>
          </cell>
        </row>
        <row r="39">
          <cell r="D39" t="str">
            <v>s101574</v>
          </cell>
          <cell r="E39" t="str">
            <v>s159059</v>
          </cell>
          <cell r="F39" t="str">
            <v>Ле Гран Нуар Пино Нуар</v>
          </cell>
          <cell r="G39">
            <v>1718.22</v>
          </cell>
          <cell r="H39">
            <v>50</v>
          </cell>
          <cell r="I39">
            <v>0</v>
          </cell>
        </row>
        <row r="40">
          <cell r="D40" t="str">
            <v>s001411</v>
          </cell>
          <cell r="E40" t="str">
            <v>s158139</v>
          </cell>
          <cell r="F40" t="str">
            <v xml:space="preserve">ТИНИ Россо новый дизайн </v>
          </cell>
          <cell r="G40">
            <v>1413.21</v>
          </cell>
          <cell r="H40">
            <v>54</v>
          </cell>
          <cell r="I40">
            <v>0</v>
          </cell>
        </row>
        <row r="41">
          <cell r="D41" t="str">
            <v>s149053</v>
          </cell>
          <cell r="E41" t="str">
            <v>s159409</v>
          </cell>
          <cell r="F41" t="str">
            <v>КаваТрес Наус Брют</v>
          </cell>
          <cell r="G41">
            <v>2531.58</v>
          </cell>
          <cell r="H41">
            <v>54</v>
          </cell>
          <cell r="I41">
            <v>0</v>
          </cell>
        </row>
        <row r="42">
          <cell r="D42" t="str">
            <v>s101570</v>
          </cell>
          <cell r="E42" t="str">
            <v>s159080</v>
          </cell>
          <cell r="F42" t="str">
            <v>Ле Гран Нуар Каберне Совиньон</v>
          </cell>
          <cell r="G42">
            <v>1718.22</v>
          </cell>
          <cell r="H42">
            <v>50</v>
          </cell>
          <cell r="I42">
            <v>0</v>
          </cell>
        </row>
        <row r="43">
          <cell r="D43" t="str">
            <v>s140928</v>
          </cell>
          <cell r="E43" t="str">
            <v>s147897</v>
          </cell>
          <cell r="F43" t="str">
            <v>Дафне Виньярдс Спиритс Темпранильо</v>
          </cell>
          <cell r="G43">
            <v>1640</v>
          </cell>
          <cell r="H43">
            <v>53</v>
          </cell>
          <cell r="I43">
            <v>0</v>
          </cell>
        </row>
        <row r="44">
          <cell r="D44" t="str">
            <v>s147431</v>
          </cell>
          <cell r="E44" t="str">
            <v>s160539</v>
          </cell>
          <cell r="F44" t="str">
            <v xml:space="preserve">Магариа Саперави </v>
          </cell>
          <cell r="G44">
            <v>1006.53</v>
          </cell>
          <cell r="H44">
            <v>50</v>
          </cell>
          <cell r="I44">
            <v>0</v>
          </cell>
        </row>
        <row r="45">
          <cell r="D45" t="str">
            <v>s150851</v>
          </cell>
          <cell r="E45" t="str">
            <v>s150851</v>
          </cell>
          <cell r="F45" t="str">
            <v>Муцци Гренаш</v>
          </cell>
          <cell r="G45">
            <v>1413.21</v>
          </cell>
          <cell r="H45">
            <v>52</v>
          </cell>
          <cell r="I45">
            <v>0</v>
          </cell>
        </row>
        <row r="46">
          <cell r="D46" t="str">
            <v>s002066</v>
          </cell>
          <cell r="E46" t="str">
            <v>s159762</v>
          </cell>
          <cell r="F46" t="str">
            <v>Пино Гриджо Розе (делле Венецие) в белой бутылке</v>
          </cell>
          <cell r="G46">
            <v>1667.38</v>
          </cell>
          <cell r="H46">
            <v>50</v>
          </cell>
          <cell r="I46">
            <v>0</v>
          </cell>
        </row>
        <row r="47">
          <cell r="D47" t="str">
            <v>s149437</v>
          </cell>
          <cell r="E47" t="str">
            <v>s154392</v>
          </cell>
          <cell r="F47" t="str">
            <v>Чело Блан де Блан новый дизайн</v>
          </cell>
          <cell r="G47">
            <v>1819.89</v>
          </cell>
          <cell r="H47">
            <v>54</v>
          </cell>
          <cell r="I47">
            <v>0</v>
          </cell>
        </row>
        <row r="48">
          <cell r="D48" t="str">
            <v>s88008</v>
          </cell>
          <cell r="E48" t="str">
            <v>s158252</v>
          </cell>
          <cell r="F48" t="str">
            <v>Фрескелло Семи Свит Ред Дизайн 2024</v>
          </cell>
          <cell r="G48">
            <v>1464.04</v>
          </cell>
          <cell r="H48">
            <v>53</v>
          </cell>
          <cell r="I48">
            <v>0</v>
          </cell>
        </row>
        <row r="49">
          <cell r="D49" t="str">
            <v>s113528</v>
          </cell>
          <cell r="E49" t="str">
            <v>s160067</v>
          </cell>
          <cell r="F49" t="str">
            <v>Трапиче Шардоне (Мендоса)</v>
          </cell>
          <cell r="G49">
            <v>1514.88</v>
          </cell>
          <cell r="H49">
            <v>53</v>
          </cell>
          <cell r="I49">
            <v>0</v>
          </cell>
        </row>
        <row r="50">
          <cell r="D50" t="str">
            <v>s133409</v>
          </cell>
          <cell r="E50" t="str">
            <v>s141415</v>
          </cell>
          <cell r="F50" t="str">
            <v>ТИНИ Био Греканико Пино Гриджо</v>
          </cell>
          <cell r="G50">
            <v>1667.38</v>
          </cell>
          <cell r="H50">
            <v>54</v>
          </cell>
          <cell r="I50">
            <v>0</v>
          </cell>
        </row>
        <row r="51">
          <cell r="D51" t="str">
            <v>s113117</v>
          </cell>
          <cell r="E51" t="str">
            <v>s157464</v>
          </cell>
          <cell r="F51" t="str">
            <v>Селлар Селекшн Карменер</v>
          </cell>
          <cell r="G51">
            <v>1006.53</v>
          </cell>
          <cell r="H51">
            <v>52</v>
          </cell>
          <cell r="I51">
            <v>0</v>
          </cell>
        </row>
        <row r="52">
          <cell r="D52" t="str">
            <v>s101569</v>
          </cell>
          <cell r="E52" t="str">
            <v>s159111</v>
          </cell>
          <cell r="F52" t="str">
            <v>Ле Гран Нуар Совиньон Блан</v>
          </cell>
          <cell r="G52">
            <v>1769.05</v>
          </cell>
          <cell r="H52">
            <v>50</v>
          </cell>
          <cell r="I52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6A1A-0C88-4802-82E4-245C458AF4C7}">
  <sheetPr>
    <tabColor rgb="FF5E9B9C"/>
  </sheetPr>
  <dimension ref="A1:L54"/>
  <sheetViews>
    <sheetView tabSelected="1" zoomScale="70" zoomScaleNormal="70" workbookViewId="0">
      <selection activeCell="K54" sqref="K54"/>
    </sheetView>
  </sheetViews>
  <sheetFormatPr defaultColWidth="9.54296875" defaultRowHeight="14" x14ac:dyDescent="0.3"/>
  <cols>
    <col min="1" max="1" width="4.81640625" style="6" customWidth="1"/>
    <col min="2" max="4" width="19.1796875" style="2" customWidth="1"/>
    <col min="5" max="5" width="48.6328125" style="2" customWidth="1"/>
    <col min="6" max="6" width="115.6328125" style="3" customWidth="1"/>
    <col min="7" max="7" width="20.81640625" style="1" customWidth="1"/>
    <col min="8" max="9" width="20.81640625" style="4" customWidth="1"/>
    <col min="10" max="11" width="20.81640625" style="1" customWidth="1"/>
    <col min="12" max="12" width="20.81640625" style="5" customWidth="1"/>
    <col min="13" max="16384" width="9.54296875" style="6"/>
  </cols>
  <sheetData>
    <row r="1" spans="1:12" ht="26" customHeight="1" x14ac:dyDescent="0.3"/>
    <row r="2" spans="1:12" ht="27.65" customHeight="1" x14ac:dyDescent="0.3"/>
    <row r="3" spans="1:12" ht="338.5" customHeight="1" x14ac:dyDescent="0.3">
      <c r="B3" s="14"/>
      <c r="C3" s="8"/>
      <c r="D3" s="8"/>
      <c r="E3" s="8"/>
      <c r="F3" s="9"/>
      <c r="G3" s="7"/>
      <c r="H3" s="10"/>
      <c r="I3" s="10"/>
      <c r="J3" s="7"/>
      <c r="K3" s="7"/>
      <c r="L3" s="11"/>
    </row>
    <row r="4" spans="1:12" ht="72.5" customHeight="1" x14ac:dyDescent="0.3">
      <c r="B4" s="28" t="s">
        <v>1</v>
      </c>
      <c r="C4" s="28" t="s">
        <v>0</v>
      </c>
      <c r="D4" s="28" t="s">
        <v>2</v>
      </c>
      <c r="E4" s="28" t="s">
        <v>11</v>
      </c>
      <c r="F4" s="36" t="s">
        <v>3</v>
      </c>
      <c r="G4" s="28" t="s">
        <v>4</v>
      </c>
      <c r="H4" s="29" t="s">
        <v>10</v>
      </c>
      <c r="I4" s="28" t="s">
        <v>9</v>
      </c>
      <c r="J4" s="28" t="s">
        <v>5</v>
      </c>
      <c r="K4" s="28" t="s">
        <v>6</v>
      </c>
      <c r="L4" s="30" t="s">
        <v>7</v>
      </c>
    </row>
    <row r="5" spans="1:12" s="13" customFormat="1" ht="31.5" customHeight="1" x14ac:dyDescent="0.3">
      <c r="A5" s="12"/>
      <c r="B5" s="34" t="s">
        <v>18</v>
      </c>
      <c r="C5" s="34" t="s">
        <v>19</v>
      </c>
      <c r="D5" s="34" t="s">
        <v>109</v>
      </c>
      <c r="E5" s="34" t="s">
        <v>13</v>
      </c>
      <c r="F5" s="33" t="s">
        <v>120</v>
      </c>
      <c r="G5" s="37">
        <f>VLOOKUP(B5,[13]Report!$D:$I,4,0)</f>
        <v>1667.38</v>
      </c>
      <c r="H5" s="38">
        <f>VLOOKUP(B5,[13]Report!$D:$I,5,0)/100</f>
        <v>0.55000000000000004</v>
      </c>
      <c r="I5" s="31">
        <f t="shared" ref="I5:I35" si="0">G5-(G5*H5)</f>
        <v>750.32100000000003</v>
      </c>
      <c r="J5" s="35"/>
      <c r="K5" s="32">
        <f t="shared" ref="K5:K35" si="1">J5*I5</f>
        <v>0</v>
      </c>
      <c r="L5" s="35">
        <v>1109</v>
      </c>
    </row>
    <row r="6" spans="1:12" s="13" customFormat="1" ht="31.5" customHeight="1" x14ac:dyDescent="0.3">
      <c r="A6" s="12"/>
      <c r="B6" s="34" t="s">
        <v>20</v>
      </c>
      <c r="C6" s="34" t="s">
        <v>21</v>
      </c>
      <c r="D6" s="34" t="s">
        <v>109</v>
      </c>
      <c r="E6" s="34" t="s">
        <v>12</v>
      </c>
      <c r="F6" s="33" t="s">
        <v>121</v>
      </c>
      <c r="G6" s="37">
        <f>VLOOKUP(B6,[13]Report!$D:$I,4,0)</f>
        <v>1819.89</v>
      </c>
      <c r="H6" s="38">
        <f>VLOOKUP(B6,[13]Report!$D:$I,5,0)/100</f>
        <v>0.54</v>
      </c>
      <c r="I6" s="31">
        <f t="shared" si="0"/>
        <v>837.14940000000001</v>
      </c>
      <c r="J6" s="35"/>
      <c r="K6" s="32">
        <f t="shared" si="1"/>
        <v>0</v>
      </c>
      <c r="L6" s="35">
        <v>1189</v>
      </c>
    </row>
    <row r="7" spans="1:12" s="13" customFormat="1" ht="31.5" customHeight="1" x14ac:dyDescent="0.3">
      <c r="A7" s="12"/>
      <c r="B7" s="34" t="s">
        <v>22</v>
      </c>
      <c r="C7" s="34" t="s">
        <v>22</v>
      </c>
      <c r="D7" s="34" t="s">
        <v>109</v>
      </c>
      <c r="E7" s="34" t="s">
        <v>111</v>
      </c>
      <c r="F7" s="33" t="s">
        <v>122</v>
      </c>
      <c r="G7" s="37">
        <f>VLOOKUP(B7,[13]Report!$D:$I,4,0)</f>
        <v>2023.23</v>
      </c>
      <c r="H7" s="38">
        <f>VLOOKUP(B7,[13]Report!$D:$I,5,0)/100</f>
        <v>0.52</v>
      </c>
      <c r="I7" s="31">
        <f t="shared" si="0"/>
        <v>971.15039999999999</v>
      </c>
      <c r="J7" s="35"/>
      <c r="K7" s="32">
        <f t="shared" si="1"/>
        <v>0</v>
      </c>
      <c r="L7" s="35">
        <v>1429</v>
      </c>
    </row>
    <row r="8" spans="1:12" s="13" customFormat="1" ht="31.5" customHeight="1" x14ac:dyDescent="0.3">
      <c r="A8" s="12"/>
      <c r="B8" s="34" t="s">
        <v>23</v>
      </c>
      <c r="C8" s="34" t="s">
        <v>23</v>
      </c>
      <c r="D8" s="34" t="s">
        <v>109</v>
      </c>
      <c r="E8" s="34" t="s">
        <v>111</v>
      </c>
      <c r="F8" s="33" t="s">
        <v>123</v>
      </c>
      <c r="G8" s="37">
        <f>VLOOKUP(B8,[13]Report!$D:$I,4,0)</f>
        <v>2023.23</v>
      </c>
      <c r="H8" s="38">
        <f>VLOOKUP(B8,[13]Report!$D:$I,5,0)/100</f>
        <v>0.52</v>
      </c>
      <c r="I8" s="31">
        <f t="shared" si="0"/>
        <v>971.15039999999999</v>
      </c>
      <c r="J8" s="35"/>
      <c r="K8" s="32">
        <f t="shared" si="1"/>
        <v>0</v>
      </c>
      <c r="L8" s="35">
        <v>1429</v>
      </c>
    </row>
    <row r="9" spans="1:12" s="13" customFormat="1" ht="31.5" customHeight="1" x14ac:dyDescent="0.3">
      <c r="A9" s="12"/>
      <c r="B9" s="34" t="s">
        <v>24</v>
      </c>
      <c r="C9" s="34" t="s">
        <v>25</v>
      </c>
      <c r="D9" s="34" t="s">
        <v>109</v>
      </c>
      <c r="E9" s="34" t="s">
        <v>17</v>
      </c>
      <c r="F9" s="33" t="s">
        <v>124</v>
      </c>
      <c r="G9" s="37">
        <f>VLOOKUP(B9,[13]Report!$D:$I,4,0)</f>
        <v>2531.58</v>
      </c>
      <c r="H9" s="38">
        <f>VLOOKUP(B9,[13]Report!$D:$I,5,0)/100</f>
        <v>0.54</v>
      </c>
      <c r="I9" s="31">
        <f t="shared" si="0"/>
        <v>1164.5267999999999</v>
      </c>
      <c r="J9" s="35"/>
      <c r="K9" s="32">
        <f t="shared" si="1"/>
        <v>0</v>
      </c>
      <c r="L9" s="35">
        <v>1679</v>
      </c>
    </row>
    <row r="10" spans="1:12" s="13" customFormat="1" ht="31.5" customHeight="1" x14ac:dyDescent="0.3">
      <c r="A10" s="12"/>
      <c r="B10" s="34" t="s">
        <v>26</v>
      </c>
      <c r="C10" s="34" t="s">
        <v>27</v>
      </c>
      <c r="D10" s="34" t="s">
        <v>110</v>
      </c>
      <c r="E10" s="34" t="s">
        <v>16</v>
      </c>
      <c r="F10" s="33" t="s">
        <v>125</v>
      </c>
      <c r="G10" s="37">
        <f>VLOOKUP(B10,[13]Report!$D:$I,4,0)</f>
        <v>1413.21</v>
      </c>
      <c r="H10" s="38">
        <f>VLOOKUP(B10,[13]Report!$D:$I,5,0)/100</f>
        <v>0.54</v>
      </c>
      <c r="I10" s="31">
        <f t="shared" si="0"/>
        <v>650.07659999999998</v>
      </c>
      <c r="J10" s="35"/>
      <c r="K10" s="32">
        <f t="shared" si="1"/>
        <v>0</v>
      </c>
      <c r="L10" s="35">
        <v>959</v>
      </c>
    </row>
    <row r="11" spans="1:12" s="13" customFormat="1" ht="31.5" customHeight="1" x14ac:dyDescent="0.3">
      <c r="A11" s="12"/>
      <c r="B11" s="34" t="s">
        <v>28</v>
      </c>
      <c r="C11" s="34" t="s">
        <v>29</v>
      </c>
      <c r="D11" s="34" t="s">
        <v>110</v>
      </c>
      <c r="E11" s="34" t="s">
        <v>16</v>
      </c>
      <c r="F11" s="33" t="s">
        <v>126</v>
      </c>
      <c r="G11" s="37">
        <f>VLOOKUP(B11,[13]Report!$D:$I,4,0)</f>
        <v>1413.21</v>
      </c>
      <c r="H11" s="38">
        <f>VLOOKUP(B11,[13]Report!$D:$I,5,0)/100</f>
        <v>0.54</v>
      </c>
      <c r="I11" s="31">
        <f t="shared" si="0"/>
        <v>650.07659999999998</v>
      </c>
      <c r="J11" s="35"/>
      <c r="K11" s="32">
        <f t="shared" si="1"/>
        <v>0</v>
      </c>
      <c r="L11" s="35">
        <v>959</v>
      </c>
    </row>
    <row r="12" spans="1:12" s="13" customFormat="1" ht="31.5" customHeight="1" x14ac:dyDescent="0.3">
      <c r="A12" s="12"/>
      <c r="B12" s="34" t="s">
        <v>30</v>
      </c>
      <c r="C12" s="34" t="s">
        <v>31</v>
      </c>
      <c r="D12" s="34" t="s">
        <v>110</v>
      </c>
      <c r="E12" s="34" t="s">
        <v>16</v>
      </c>
      <c r="F12" s="33" t="s">
        <v>127</v>
      </c>
      <c r="G12" s="37">
        <f>VLOOKUP(B12,[13]Report!$D:$I,4,0)</f>
        <v>1514.88</v>
      </c>
      <c r="H12" s="38">
        <f>VLOOKUP(B12,[13]Report!$D:$I,5,0)/100</f>
        <v>0.54</v>
      </c>
      <c r="I12" s="31">
        <f t="shared" si="0"/>
        <v>696.84479999999996</v>
      </c>
      <c r="J12" s="35"/>
      <c r="K12" s="32">
        <f t="shared" si="1"/>
        <v>0</v>
      </c>
      <c r="L12" s="35">
        <v>1019</v>
      </c>
    </row>
    <row r="13" spans="1:12" s="13" customFormat="1" ht="31.5" customHeight="1" x14ac:dyDescent="0.3">
      <c r="A13" s="12"/>
      <c r="B13" s="34" t="s">
        <v>32</v>
      </c>
      <c r="C13" s="34" t="s">
        <v>33</v>
      </c>
      <c r="D13" s="34" t="s">
        <v>110</v>
      </c>
      <c r="E13" s="34" t="s">
        <v>16</v>
      </c>
      <c r="F13" s="33" t="s">
        <v>128</v>
      </c>
      <c r="G13" s="37">
        <f>VLOOKUP(B13,[13]Report!$D:$I,4,0)</f>
        <v>1514.88</v>
      </c>
      <c r="H13" s="38">
        <f>VLOOKUP(B13,[13]Report!$D:$I,5,0)/100</f>
        <v>0.54</v>
      </c>
      <c r="I13" s="31">
        <f t="shared" si="0"/>
        <v>696.84479999999996</v>
      </c>
      <c r="J13" s="35"/>
      <c r="K13" s="32">
        <f t="shared" si="1"/>
        <v>0</v>
      </c>
      <c r="L13" s="35">
        <v>1019</v>
      </c>
    </row>
    <row r="14" spans="1:12" s="13" customFormat="1" ht="31.5" customHeight="1" x14ac:dyDescent="0.3">
      <c r="A14" s="12"/>
      <c r="B14" s="34" t="s">
        <v>36</v>
      </c>
      <c r="C14" s="34" t="s">
        <v>37</v>
      </c>
      <c r="D14" s="34" t="s">
        <v>110</v>
      </c>
      <c r="E14" s="34" t="s">
        <v>14</v>
      </c>
      <c r="F14" s="33" t="s">
        <v>130</v>
      </c>
      <c r="G14" s="37">
        <f>VLOOKUP(B14,[13]Report!$D:$I,4,0)</f>
        <v>1514.88</v>
      </c>
      <c r="H14" s="38">
        <f>VLOOKUP(B14,[13]Report!$D:$I,5,0)/100</f>
        <v>0.54</v>
      </c>
      <c r="I14" s="31">
        <f t="shared" si="0"/>
        <v>696.84479999999996</v>
      </c>
      <c r="J14" s="35"/>
      <c r="K14" s="32">
        <f t="shared" si="1"/>
        <v>0</v>
      </c>
      <c r="L14" s="35">
        <v>1029</v>
      </c>
    </row>
    <row r="15" spans="1:12" s="13" customFormat="1" ht="31.5" customHeight="1" x14ac:dyDescent="0.3">
      <c r="A15" s="12"/>
      <c r="B15" s="34" t="s">
        <v>38</v>
      </c>
      <c r="C15" s="34" t="s">
        <v>39</v>
      </c>
      <c r="D15" s="34" t="s">
        <v>110</v>
      </c>
      <c r="E15" s="34" t="s">
        <v>14</v>
      </c>
      <c r="F15" s="33" t="s">
        <v>131</v>
      </c>
      <c r="G15" s="37">
        <f>VLOOKUP(B15,[13]Report!$D:$I,4,0)</f>
        <v>1667.38</v>
      </c>
      <c r="H15" s="38">
        <f>VLOOKUP(B15,[13]Report!$D:$I,5,0)/100</f>
        <v>0.54</v>
      </c>
      <c r="I15" s="31">
        <f t="shared" si="0"/>
        <v>766.99479999999994</v>
      </c>
      <c r="J15" s="35"/>
      <c r="K15" s="32">
        <f t="shared" si="1"/>
        <v>0</v>
      </c>
      <c r="L15" s="35">
        <v>1119</v>
      </c>
    </row>
    <row r="16" spans="1:12" s="13" customFormat="1" ht="31.5" customHeight="1" x14ac:dyDescent="0.3">
      <c r="A16" s="12"/>
      <c r="B16" s="34" t="s">
        <v>34</v>
      </c>
      <c r="C16" s="34" t="s">
        <v>35</v>
      </c>
      <c r="D16" s="34" t="s">
        <v>110</v>
      </c>
      <c r="E16" s="34" t="s">
        <v>15</v>
      </c>
      <c r="F16" s="33" t="s">
        <v>129</v>
      </c>
      <c r="G16" s="37">
        <f>VLOOKUP(B16,[13]Report!$D:$I,4,0)</f>
        <v>1514.88</v>
      </c>
      <c r="H16" s="38">
        <f>VLOOKUP(B16,[13]Report!$D:$I,5,0)/100</f>
        <v>0.54</v>
      </c>
      <c r="I16" s="31">
        <f t="shared" si="0"/>
        <v>696.84479999999996</v>
      </c>
      <c r="J16" s="35"/>
      <c r="K16" s="32">
        <f t="shared" si="1"/>
        <v>0</v>
      </c>
      <c r="L16" s="35">
        <v>1019</v>
      </c>
    </row>
    <row r="17" spans="1:12" s="13" customFormat="1" ht="31.5" customHeight="1" x14ac:dyDescent="0.3">
      <c r="A17" s="12"/>
      <c r="B17" s="34" t="s">
        <v>54</v>
      </c>
      <c r="C17" s="34" t="s">
        <v>55</v>
      </c>
      <c r="D17" s="34" t="s">
        <v>110</v>
      </c>
      <c r="E17" s="34" t="s">
        <v>14</v>
      </c>
      <c r="F17" s="33" t="s">
        <v>139</v>
      </c>
      <c r="G17" s="37">
        <f>VLOOKUP(B17,[13]Report!$D:$I,4,0)</f>
        <v>1514.88</v>
      </c>
      <c r="H17" s="38">
        <f>VLOOKUP(B17,[13]Report!$D:$I,5,0)/100</f>
        <v>0.53</v>
      </c>
      <c r="I17" s="31">
        <f t="shared" si="0"/>
        <v>711.99360000000001</v>
      </c>
      <c r="J17" s="35"/>
      <c r="K17" s="32">
        <f t="shared" si="1"/>
        <v>0</v>
      </c>
      <c r="L17" s="35">
        <v>1049</v>
      </c>
    </row>
    <row r="18" spans="1:12" s="13" customFormat="1" ht="31.5" customHeight="1" x14ac:dyDescent="0.3">
      <c r="A18" s="12"/>
      <c r="B18" s="34" t="s">
        <v>56</v>
      </c>
      <c r="C18" s="34" t="s">
        <v>57</v>
      </c>
      <c r="D18" s="34" t="s">
        <v>110</v>
      </c>
      <c r="E18" s="34" t="s">
        <v>15</v>
      </c>
      <c r="F18" s="33" t="s">
        <v>140</v>
      </c>
      <c r="G18" s="37">
        <f>VLOOKUP(B18,[13]Report!$D:$I,4,0)</f>
        <v>1514.88</v>
      </c>
      <c r="H18" s="38">
        <f>VLOOKUP(B18,[13]Report!$D:$I,5,0)/100</f>
        <v>0.53</v>
      </c>
      <c r="I18" s="31">
        <f t="shared" si="0"/>
        <v>711.99360000000001</v>
      </c>
      <c r="J18" s="35"/>
      <c r="K18" s="32">
        <f t="shared" si="1"/>
        <v>0</v>
      </c>
      <c r="L18" s="35">
        <v>1049</v>
      </c>
    </row>
    <row r="19" spans="1:12" s="13" customFormat="1" ht="31.5" customHeight="1" x14ac:dyDescent="0.3">
      <c r="A19" s="12"/>
      <c r="B19" s="34" t="s">
        <v>40</v>
      </c>
      <c r="C19" s="34" t="s">
        <v>41</v>
      </c>
      <c r="D19" s="34" t="s">
        <v>110</v>
      </c>
      <c r="E19" s="34" t="s">
        <v>12</v>
      </c>
      <c r="F19" s="33" t="s">
        <v>132</v>
      </c>
      <c r="G19" s="37">
        <f>VLOOKUP(B19,[13]Report!$D:$I,4,0)</f>
        <v>1413.21</v>
      </c>
      <c r="H19" s="38">
        <f>VLOOKUP(B19,[13]Report!$D:$I,5,0)/100</f>
        <v>0.52</v>
      </c>
      <c r="I19" s="31">
        <f t="shared" si="0"/>
        <v>678.34079999999994</v>
      </c>
      <c r="J19" s="35"/>
      <c r="K19" s="32">
        <f t="shared" si="1"/>
        <v>0</v>
      </c>
      <c r="L19" s="35">
        <v>1069</v>
      </c>
    </row>
    <row r="20" spans="1:12" s="13" customFormat="1" ht="31.5" customHeight="1" x14ac:dyDescent="0.3">
      <c r="A20" s="12"/>
      <c r="B20" s="34" t="s">
        <v>42</v>
      </c>
      <c r="C20" s="34" t="s">
        <v>43</v>
      </c>
      <c r="D20" s="34" t="s">
        <v>110</v>
      </c>
      <c r="E20" s="34" t="s">
        <v>12</v>
      </c>
      <c r="F20" s="33" t="s">
        <v>133</v>
      </c>
      <c r="G20" s="37">
        <f>VLOOKUP(B20,[13]Report!$D:$I,4,0)</f>
        <v>1413.21</v>
      </c>
      <c r="H20" s="38">
        <f>VLOOKUP(B20,[13]Report!$D:$I,5,0)/100</f>
        <v>0.52</v>
      </c>
      <c r="I20" s="31">
        <f t="shared" si="0"/>
        <v>678.34079999999994</v>
      </c>
      <c r="J20" s="35"/>
      <c r="K20" s="32">
        <f t="shared" si="1"/>
        <v>0</v>
      </c>
      <c r="L20" s="35">
        <v>1069</v>
      </c>
    </row>
    <row r="21" spans="1:12" s="13" customFormat="1" ht="31.5" customHeight="1" x14ac:dyDescent="0.3">
      <c r="A21" s="12"/>
      <c r="B21" s="34" t="s">
        <v>44</v>
      </c>
      <c r="C21" s="34" t="s">
        <v>45</v>
      </c>
      <c r="D21" s="34" t="s">
        <v>110</v>
      </c>
      <c r="E21" s="34" t="s">
        <v>12</v>
      </c>
      <c r="F21" s="33" t="s">
        <v>134</v>
      </c>
      <c r="G21" s="37">
        <f>VLOOKUP(B21,[13]Report!$D:$I,4,0)</f>
        <v>1413.21</v>
      </c>
      <c r="H21" s="38">
        <f>VLOOKUP(B21,[13]Report!$D:$I,5,0)/100</f>
        <v>0.52</v>
      </c>
      <c r="I21" s="31">
        <f t="shared" si="0"/>
        <v>678.34079999999994</v>
      </c>
      <c r="J21" s="35"/>
      <c r="K21" s="32">
        <f t="shared" si="1"/>
        <v>0</v>
      </c>
      <c r="L21" s="35">
        <v>1069</v>
      </c>
    </row>
    <row r="22" spans="1:12" s="13" customFormat="1" ht="31.5" customHeight="1" x14ac:dyDescent="0.3">
      <c r="A22" s="12"/>
      <c r="B22" s="34" t="s">
        <v>46</v>
      </c>
      <c r="C22" s="34" t="s">
        <v>47</v>
      </c>
      <c r="D22" s="34" t="s">
        <v>110</v>
      </c>
      <c r="E22" s="34" t="s">
        <v>12</v>
      </c>
      <c r="F22" s="33" t="s">
        <v>135</v>
      </c>
      <c r="G22" s="37">
        <f>VLOOKUP(B22,[13]Report!$D:$I,4,0)</f>
        <v>1464.04</v>
      </c>
      <c r="H22" s="38">
        <f>VLOOKUP(B22,[13]Report!$D:$I,5,0)/100</f>
        <v>0.53</v>
      </c>
      <c r="I22" s="31">
        <f t="shared" si="0"/>
        <v>688.09879999999998</v>
      </c>
      <c r="J22" s="35"/>
      <c r="K22" s="32">
        <f t="shared" si="1"/>
        <v>0</v>
      </c>
      <c r="L22" s="35">
        <v>1069</v>
      </c>
    </row>
    <row r="23" spans="1:12" s="13" customFormat="1" ht="31.5" customHeight="1" x14ac:dyDescent="0.3">
      <c r="A23" s="12"/>
      <c r="B23" s="34" t="s">
        <v>48</v>
      </c>
      <c r="C23" s="34" t="s">
        <v>49</v>
      </c>
      <c r="D23" s="34" t="s">
        <v>110</v>
      </c>
      <c r="E23" s="34" t="s">
        <v>12</v>
      </c>
      <c r="F23" s="33" t="s">
        <v>136</v>
      </c>
      <c r="G23" s="37">
        <f>VLOOKUP(B23,[13]Report!$D:$I,4,0)</f>
        <v>1464.04</v>
      </c>
      <c r="H23" s="38">
        <f>VLOOKUP(B23,[13]Report!$D:$I,5,0)/100</f>
        <v>0.53</v>
      </c>
      <c r="I23" s="31">
        <f t="shared" si="0"/>
        <v>688.09879999999998</v>
      </c>
      <c r="J23" s="35"/>
      <c r="K23" s="32">
        <f t="shared" si="1"/>
        <v>0</v>
      </c>
      <c r="L23" s="35">
        <v>1069</v>
      </c>
    </row>
    <row r="24" spans="1:12" s="13" customFormat="1" ht="31.5" customHeight="1" x14ac:dyDescent="0.3">
      <c r="A24" s="12"/>
      <c r="B24" s="34" t="s">
        <v>50</v>
      </c>
      <c r="C24" s="34" t="s">
        <v>51</v>
      </c>
      <c r="D24" s="34" t="s">
        <v>110</v>
      </c>
      <c r="E24" s="34" t="s">
        <v>12</v>
      </c>
      <c r="F24" s="33" t="s">
        <v>137</v>
      </c>
      <c r="G24" s="37">
        <f>VLOOKUP(B24,[13]Report!$D:$I,4,0)</f>
        <v>1616.55</v>
      </c>
      <c r="H24" s="38">
        <f>VLOOKUP(B24,[13]Report!$D:$I,5,0)/100</f>
        <v>0.55000000000000004</v>
      </c>
      <c r="I24" s="31">
        <f t="shared" si="0"/>
        <v>727.44749999999988</v>
      </c>
      <c r="J24" s="35"/>
      <c r="K24" s="32">
        <f t="shared" si="1"/>
        <v>0</v>
      </c>
      <c r="L24" s="35">
        <v>1099</v>
      </c>
    </row>
    <row r="25" spans="1:12" s="13" customFormat="1" ht="31.5" customHeight="1" x14ac:dyDescent="0.3">
      <c r="A25" s="12"/>
      <c r="B25" s="34" t="s">
        <v>52</v>
      </c>
      <c r="C25" s="34" t="s">
        <v>53</v>
      </c>
      <c r="D25" s="34" t="s">
        <v>110</v>
      </c>
      <c r="E25" s="34" t="s">
        <v>12</v>
      </c>
      <c r="F25" s="33" t="s">
        <v>138</v>
      </c>
      <c r="G25" s="37">
        <f>VLOOKUP(B25,[13]Report!$D:$I,4,0)</f>
        <v>1616.55</v>
      </c>
      <c r="H25" s="38">
        <f>VLOOKUP(B25,[13]Report!$D:$I,5,0)/100</f>
        <v>0.55000000000000004</v>
      </c>
      <c r="I25" s="31">
        <f t="shared" si="0"/>
        <v>727.44749999999988</v>
      </c>
      <c r="J25" s="35"/>
      <c r="K25" s="32">
        <f t="shared" si="1"/>
        <v>0</v>
      </c>
      <c r="L25" s="35">
        <v>1099</v>
      </c>
    </row>
    <row r="26" spans="1:12" s="13" customFormat="1" ht="31.5" customHeight="1" x14ac:dyDescent="0.3">
      <c r="A26" s="12"/>
      <c r="B26" s="34" t="s">
        <v>58</v>
      </c>
      <c r="C26" s="34" t="s">
        <v>59</v>
      </c>
      <c r="D26" s="34" t="s">
        <v>110</v>
      </c>
      <c r="E26" s="34" t="s">
        <v>12</v>
      </c>
      <c r="F26" s="33" t="s">
        <v>141</v>
      </c>
      <c r="G26" s="37">
        <f>VLOOKUP(B26,[13]Report!$D:$I,4,0)</f>
        <v>1667.38</v>
      </c>
      <c r="H26" s="38">
        <f>VLOOKUP(B26,[13]Report!$D:$I,5,0)/100</f>
        <v>0.5</v>
      </c>
      <c r="I26" s="31">
        <f t="shared" si="0"/>
        <v>833.69</v>
      </c>
      <c r="J26" s="35"/>
      <c r="K26" s="32">
        <f t="shared" si="1"/>
        <v>0</v>
      </c>
      <c r="L26" s="35">
        <v>1249</v>
      </c>
    </row>
    <row r="27" spans="1:12" s="13" customFormat="1" ht="31.5" customHeight="1" x14ac:dyDescent="0.3">
      <c r="A27" s="12"/>
      <c r="B27" s="34" t="s">
        <v>60</v>
      </c>
      <c r="C27" s="34" t="s">
        <v>61</v>
      </c>
      <c r="D27" s="34" t="s">
        <v>110</v>
      </c>
      <c r="E27" s="34" t="s">
        <v>12</v>
      </c>
      <c r="F27" s="33" t="s">
        <v>142</v>
      </c>
      <c r="G27" s="37">
        <f>VLOOKUP(B27,[13]Report!$D:$I,4,0)</f>
        <v>1819.89</v>
      </c>
      <c r="H27" s="38">
        <f>VLOOKUP(B27,[13]Report!$D:$I,5,0)/100</f>
        <v>0.53</v>
      </c>
      <c r="I27" s="31">
        <f t="shared" si="0"/>
        <v>855.34829999999999</v>
      </c>
      <c r="J27" s="35"/>
      <c r="K27" s="32">
        <f t="shared" si="1"/>
        <v>0</v>
      </c>
      <c r="L27" s="35">
        <v>1279</v>
      </c>
    </row>
    <row r="28" spans="1:12" s="13" customFormat="1" ht="31.5" customHeight="1" x14ac:dyDescent="0.3">
      <c r="A28" s="12"/>
      <c r="B28" s="34" t="s">
        <v>62</v>
      </c>
      <c r="C28" s="34" t="s">
        <v>63</v>
      </c>
      <c r="D28" s="34" t="s">
        <v>110</v>
      </c>
      <c r="E28" s="34" t="s">
        <v>8</v>
      </c>
      <c r="F28" s="33" t="s">
        <v>143</v>
      </c>
      <c r="G28" s="37">
        <f>VLOOKUP(B28,[13]Report!$D:$I,4,0)</f>
        <v>1921.56</v>
      </c>
      <c r="H28" s="38">
        <f>VLOOKUP(B28,[13]Report!$D:$I,5,0)/100</f>
        <v>0.55000000000000004</v>
      </c>
      <c r="I28" s="31">
        <f t="shared" si="0"/>
        <v>864.702</v>
      </c>
      <c r="J28" s="35"/>
      <c r="K28" s="32">
        <f t="shared" si="1"/>
        <v>0</v>
      </c>
      <c r="L28" s="35">
        <v>1249</v>
      </c>
    </row>
    <row r="29" spans="1:12" s="13" customFormat="1" ht="31.5" customHeight="1" x14ac:dyDescent="0.3">
      <c r="A29" s="12"/>
      <c r="B29" s="34" t="s">
        <v>64</v>
      </c>
      <c r="C29" s="34" t="s">
        <v>65</v>
      </c>
      <c r="D29" s="34" t="s">
        <v>110</v>
      </c>
      <c r="E29" s="34" t="s">
        <v>112</v>
      </c>
      <c r="F29" s="33" t="s">
        <v>144</v>
      </c>
      <c r="G29" s="37">
        <f>VLOOKUP(B29,[13]Report!$D:$I,4,0)</f>
        <v>1464.04</v>
      </c>
      <c r="H29" s="38">
        <f>VLOOKUP(B29,[13]Report!$D:$I,5,0)/100</f>
        <v>0.55000000000000004</v>
      </c>
      <c r="I29" s="31">
        <f t="shared" si="0"/>
        <v>658.81799999999987</v>
      </c>
      <c r="J29" s="35"/>
      <c r="K29" s="32">
        <f t="shared" si="1"/>
        <v>0</v>
      </c>
      <c r="L29" s="35">
        <v>989</v>
      </c>
    </row>
    <row r="30" spans="1:12" s="13" customFormat="1" ht="31.5" customHeight="1" x14ac:dyDescent="0.3">
      <c r="A30" s="12"/>
      <c r="B30" s="34" t="s">
        <v>66</v>
      </c>
      <c r="C30" s="34" t="s">
        <v>67</v>
      </c>
      <c r="D30" s="34" t="s">
        <v>110</v>
      </c>
      <c r="E30" s="34" t="s">
        <v>113</v>
      </c>
      <c r="F30" s="33" t="s">
        <v>167</v>
      </c>
      <c r="G30" s="37">
        <f>VLOOKUP(B30,[13]Report!$D:$I,4,0)</f>
        <v>1640</v>
      </c>
      <c r="H30" s="38">
        <f>VLOOKUP(B30,[13]Report!$D:$I,5,0)/100</f>
        <v>0.53</v>
      </c>
      <c r="I30" s="31">
        <f t="shared" si="0"/>
        <v>770.8</v>
      </c>
      <c r="J30" s="35"/>
      <c r="K30" s="32">
        <f t="shared" si="1"/>
        <v>0</v>
      </c>
      <c r="L30" s="35">
        <v>1119</v>
      </c>
    </row>
    <row r="31" spans="1:12" s="13" customFormat="1" ht="31.5" customHeight="1" x14ac:dyDescent="0.3">
      <c r="A31" s="12"/>
      <c r="B31" s="34" t="s">
        <v>68</v>
      </c>
      <c r="C31" s="34" t="s">
        <v>69</v>
      </c>
      <c r="D31" s="34" t="s">
        <v>110</v>
      </c>
      <c r="E31" s="34" t="s">
        <v>113</v>
      </c>
      <c r="F31" s="33" t="s">
        <v>166</v>
      </c>
      <c r="G31" s="37">
        <f>VLOOKUP(B31,[13]Report!$D:$I,4,0)</f>
        <v>1667.38</v>
      </c>
      <c r="H31" s="38">
        <f>VLOOKUP(B31,[13]Report!$D:$I,5,0)/100</f>
        <v>0.53</v>
      </c>
      <c r="I31" s="31">
        <f t="shared" si="0"/>
        <v>783.66859999999997</v>
      </c>
      <c r="J31" s="35"/>
      <c r="K31" s="32">
        <f t="shared" si="1"/>
        <v>0</v>
      </c>
      <c r="L31" s="35">
        <v>1119</v>
      </c>
    </row>
    <row r="32" spans="1:12" s="13" customFormat="1" ht="31.5" customHeight="1" x14ac:dyDescent="0.3">
      <c r="A32" s="12"/>
      <c r="B32" s="34" t="s">
        <v>70</v>
      </c>
      <c r="C32" s="34" t="s">
        <v>71</v>
      </c>
      <c r="D32" s="34" t="s">
        <v>110</v>
      </c>
      <c r="E32" s="34" t="s">
        <v>113</v>
      </c>
      <c r="F32" s="33" t="s">
        <v>145</v>
      </c>
      <c r="G32" s="37">
        <f>VLOOKUP(B32,[13]Report!$D:$I,4,0)</f>
        <v>1667.38</v>
      </c>
      <c r="H32" s="38">
        <f>VLOOKUP(B32,[13]Report!$D:$I,5,0)/100</f>
        <v>0.53</v>
      </c>
      <c r="I32" s="31">
        <f t="shared" si="0"/>
        <v>783.66859999999997</v>
      </c>
      <c r="J32" s="35"/>
      <c r="K32" s="32">
        <f t="shared" si="1"/>
        <v>0</v>
      </c>
      <c r="L32" s="35">
        <v>1119</v>
      </c>
    </row>
    <row r="33" spans="1:12" s="13" customFormat="1" ht="31.5" customHeight="1" x14ac:dyDescent="0.3">
      <c r="A33" s="12"/>
      <c r="B33" s="34" t="s">
        <v>72</v>
      </c>
      <c r="C33" s="34" t="s">
        <v>73</v>
      </c>
      <c r="D33" s="34" t="s">
        <v>110</v>
      </c>
      <c r="E33" s="34" t="s">
        <v>114</v>
      </c>
      <c r="F33" s="33" t="s">
        <v>146</v>
      </c>
      <c r="G33" s="37">
        <f>VLOOKUP(B33,[13]Report!$D:$I,4,0)</f>
        <v>1616.55</v>
      </c>
      <c r="H33" s="38">
        <f>VLOOKUP(B33,[13]Report!$D:$I,5,0)/100</f>
        <v>0.5</v>
      </c>
      <c r="I33" s="31">
        <f t="shared" si="0"/>
        <v>808.27499999999998</v>
      </c>
      <c r="J33" s="35"/>
      <c r="K33" s="32">
        <f t="shared" si="1"/>
        <v>0</v>
      </c>
      <c r="L33" s="35">
        <v>1189</v>
      </c>
    </row>
    <row r="34" spans="1:12" s="13" customFormat="1" ht="31.5" customHeight="1" x14ac:dyDescent="0.3">
      <c r="A34" s="12"/>
      <c r="B34" s="34" t="s">
        <v>74</v>
      </c>
      <c r="C34" s="34" t="s">
        <v>75</v>
      </c>
      <c r="D34" s="34" t="s">
        <v>110</v>
      </c>
      <c r="E34" s="34" t="s">
        <v>115</v>
      </c>
      <c r="F34" s="33" t="s">
        <v>147</v>
      </c>
      <c r="G34" s="37">
        <f>VLOOKUP(B34,[13]Report!$D:$I,4,0)</f>
        <v>1718.22</v>
      </c>
      <c r="H34" s="38">
        <f>VLOOKUP(B34,[13]Report!$D:$I,5,0)/100</f>
        <v>0.5</v>
      </c>
      <c r="I34" s="31">
        <f t="shared" si="0"/>
        <v>859.11</v>
      </c>
      <c r="J34" s="35"/>
      <c r="K34" s="32">
        <f t="shared" si="1"/>
        <v>0</v>
      </c>
      <c r="L34" s="35">
        <v>1279</v>
      </c>
    </row>
    <row r="35" spans="1:12" s="13" customFormat="1" ht="31.5" customHeight="1" x14ac:dyDescent="0.3">
      <c r="A35" s="12"/>
      <c r="B35" s="34" t="s">
        <v>76</v>
      </c>
      <c r="C35" s="34" t="s">
        <v>77</v>
      </c>
      <c r="D35" s="34" t="s">
        <v>110</v>
      </c>
      <c r="E35" s="34" t="s">
        <v>115</v>
      </c>
      <c r="F35" s="33" t="s">
        <v>148</v>
      </c>
      <c r="G35" s="37">
        <f>VLOOKUP(B35,[13]Report!$D:$I,4,0)</f>
        <v>1769.05</v>
      </c>
      <c r="H35" s="38">
        <f>VLOOKUP(B35,[13]Report!$D:$I,5,0)/100</f>
        <v>0.5</v>
      </c>
      <c r="I35" s="31">
        <f t="shared" si="0"/>
        <v>884.52499999999998</v>
      </c>
      <c r="J35" s="35"/>
      <c r="K35" s="32">
        <f t="shared" si="1"/>
        <v>0</v>
      </c>
      <c r="L35" s="35">
        <v>1299</v>
      </c>
    </row>
    <row r="36" spans="1:12" s="13" customFormat="1" ht="31.5" customHeight="1" x14ac:dyDescent="0.3">
      <c r="A36" s="12"/>
      <c r="B36" s="34" t="s">
        <v>78</v>
      </c>
      <c r="C36" s="34" t="s">
        <v>79</v>
      </c>
      <c r="D36" s="34" t="s">
        <v>110</v>
      </c>
      <c r="E36" s="34" t="s">
        <v>115</v>
      </c>
      <c r="F36" s="33" t="s">
        <v>149</v>
      </c>
      <c r="G36" s="37">
        <f>VLOOKUP(B36,[13]Report!$D:$I,4,0)</f>
        <v>1718.22</v>
      </c>
      <c r="H36" s="38">
        <f>VLOOKUP(B36,[13]Report!$D:$I,5,0)/100</f>
        <v>0.5</v>
      </c>
      <c r="I36" s="31">
        <f t="shared" ref="I36:I51" si="2">G36-(G36*H36)</f>
        <v>859.11</v>
      </c>
      <c r="J36" s="35"/>
      <c r="K36" s="32">
        <f t="shared" ref="K36:K51" si="3">J36*I36</f>
        <v>0</v>
      </c>
      <c r="L36" s="35">
        <v>1279</v>
      </c>
    </row>
    <row r="37" spans="1:12" s="13" customFormat="1" ht="31.5" customHeight="1" x14ac:dyDescent="0.3">
      <c r="A37" s="12"/>
      <c r="B37" s="34" t="s">
        <v>80</v>
      </c>
      <c r="C37" s="34" t="s">
        <v>81</v>
      </c>
      <c r="D37" s="34" t="s">
        <v>110</v>
      </c>
      <c r="E37" s="34" t="s">
        <v>115</v>
      </c>
      <c r="F37" s="33" t="s">
        <v>162</v>
      </c>
      <c r="G37" s="37">
        <f>VLOOKUP(B37,[13]Report!$D:$I,4,0)</f>
        <v>1718.22</v>
      </c>
      <c r="H37" s="38">
        <f>VLOOKUP(B37,[13]Report!$D:$I,5,0)/100</f>
        <v>0.5</v>
      </c>
      <c r="I37" s="31">
        <f t="shared" si="2"/>
        <v>859.11</v>
      </c>
      <c r="J37" s="35"/>
      <c r="K37" s="32">
        <f t="shared" si="3"/>
        <v>0</v>
      </c>
      <c r="L37" s="35">
        <v>1279</v>
      </c>
    </row>
    <row r="38" spans="1:12" s="13" customFormat="1" ht="31.5" customHeight="1" x14ac:dyDescent="0.3">
      <c r="A38" s="12"/>
      <c r="B38" s="34" t="s">
        <v>82</v>
      </c>
      <c r="C38" s="34" t="s">
        <v>83</v>
      </c>
      <c r="D38" s="34" t="s">
        <v>110</v>
      </c>
      <c r="E38" s="34" t="s">
        <v>116</v>
      </c>
      <c r="F38" s="33" t="s">
        <v>150</v>
      </c>
      <c r="G38" s="37">
        <f>VLOOKUP(B38,[13]Report!$D:$I,4,0)</f>
        <v>1006.53</v>
      </c>
      <c r="H38" s="38">
        <f>VLOOKUP(B38,[13]Report!$D:$I,5,0)/100</f>
        <v>0.5</v>
      </c>
      <c r="I38" s="31">
        <f t="shared" si="2"/>
        <v>503.26499999999999</v>
      </c>
      <c r="J38" s="35"/>
      <c r="K38" s="32">
        <f t="shared" si="3"/>
        <v>0</v>
      </c>
      <c r="L38" s="35">
        <v>749</v>
      </c>
    </row>
    <row r="39" spans="1:12" s="13" customFormat="1" ht="31.5" customHeight="1" x14ac:dyDescent="0.3">
      <c r="A39" s="12"/>
      <c r="B39" s="34" t="s">
        <v>84</v>
      </c>
      <c r="C39" s="34" t="s">
        <v>85</v>
      </c>
      <c r="D39" s="34" t="s">
        <v>110</v>
      </c>
      <c r="E39" s="34" t="s">
        <v>117</v>
      </c>
      <c r="F39" s="33" t="s">
        <v>163</v>
      </c>
      <c r="G39" s="37">
        <f>VLOOKUP(B39,[13]Report!$D:$I,4,0)</f>
        <v>1209.8699999999999</v>
      </c>
      <c r="H39" s="38">
        <f>VLOOKUP(B39,[13]Report!$D:$I,5,0)/100</f>
        <v>0.55000000000000004</v>
      </c>
      <c r="I39" s="31">
        <f t="shared" si="2"/>
        <v>544.44149999999991</v>
      </c>
      <c r="J39" s="35"/>
      <c r="K39" s="32">
        <f t="shared" si="3"/>
        <v>0</v>
      </c>
      <c r="L39" s="35">
        <v>799</v>
      </c>
    </row>
    <row r="40" spans="1:12" s="13" customFormat="1" ht="31.5" customHeight="1" x14ac:dyDescent="0.3">
      <c r="A40" s="12"/>
      <c r="B40" s="34" t="s">
        <v>86</v>
      </c>
      <c r="C40" s="34" t="s">
        <v>87</v>
      </c>
      <c r="D40" s="34" t="s">
        <v>110</v>
      </c>
      <c r="E40" s="34" t="s">
        <v>117</v>
      </c>
      <c r="F40" s="33" t="s">
        <v>164</v>
      </c>
      <c r="G40" s="37">
        <f>VLOOKUP(B40,[13]Report!$D:$I,4,0)</f>
        <v>1209.8699999999999</v>
      </c>
      <c r="H40" s="38">
        <f>VLOOKUP(B40,[13]Report!$D:$I,5,0)/100</f>
        <v>0.55000000000000004</v>
      </c>
      <c r="I40" s="31">
        <f t="shared" si="2"/>
        <v>544.44149999999991</v>
      </c>
      <c r="J40" s="35"/>
      <c r="K40" s="32">
        <f t="shared" si="3"/>
        <v>0</v>
      </c>
      <c r="L40" s="35">
        <v>799</v>
      </c>
    </row>
    <row r="41" spans="1:12" s="13" customFormat="1" ht="31.5" customHeight="1" x14ac:dyDescent="0.3">
      <c r="A41" s="12"/>
      <c r="B41" s="34" t="s">
        <v>88</v>
      </c>
      <c r="C41" s="34" t="s">
        <v>88</v>
      </c>
      <c r="D41" s="34" t="s">
        <v>110</v>
      </c>
      <c r="E41" s="34" t="s">
        <v>117</v>
      </c>
      <c r="F41" s="33" t="s">
        <v>151</v>
      </c>
      <c r="G41" s="37">
        <f>VLOOKUP(B41,[13]Report!$D:$I,4,0)</f>
        <v>1413.21</v>
      </c>
      <c r="H41" s="38">
        <f>VLOOKUP(B41,[13]Report!$D:$I,5,0)/100</f>
        <v>0.52</v>
      </c>
      <c r="I41" s="31">
        <f t="shared" si="2"/>
        <v>678.34079999999994</v>
      </c>
      <c r="J41" s="35"/>
      <c r="K41" s="32">
        <f t="shared" si="3"/>
        <v>0</v>
      </c>
      <c r="L41" s="35">
        <v>989</v>
      </c>
    </row>
    <row r="42" spans="1:12" s="13" customFormat="1" ht="31.5" customHeight="1" x14ac:dyDescent="0.3">
      <c r="A42" s="12"/>
      <c r="B42" s="34" t="s">
        <v>89</v>
      </c>
      <c r="C42" s="34" t="s">
        <v>90</v>
      </c>
      <c r="D42" s="34" t="s">
        <v>110</v>
      </c>
      <c r="E42" s="34" t="s">
        <v>117</v>
      </c>
      <c r="F42" s="33" t="s">
        <v>152</v>
      </c>
      <c r="G42" s="37">
        <f>VLOOKUP(B42,[13]Report!$D:$I,4,0)</f>
        <v>1413.21</v>
      </c>
      <c r="H42" s="38">
        <f>VLOOKUP(B42,[13]Report!$D:$I,5,0)/100</f>
        <v>0.52</v>
      </c>
      <c r="I42" s="31">
        <f t="shared" si="2"/>
        <v>678.34079999999994</v>
      </c>
      <c r="J42" s="35"/>
      <c r="K42" s="32">
        <f t="shared" si="3"/>
        <v>0</v>
      </c>
      <c r="L42" s="35">
        <v>989</v>
      </c>
    </row>
    <row r="43" spans="1:12" s="13" customFormat="1" ht="31.5" customHeight="1" x14ac:dyDescent="0.3">
      <c r="A43" s="12"/>
      <c r="B43" s="34" t="s">
        <v>91</v>
      </c>
      <c r="C43" s="34" t="s">
        <v>92</v>
      </c>
      <c r="D43" s="34" t="s">
        <v>110</v>
      </c>
      <c r="E43" s="34" t="s">
        <v>117</v>
      </c>
      <c r="F43" s="33" t="s">
        <v>153</v>
      </c>
      <c r="G43" s="37">
        <f>VLOOKUP(B43,[13]Report!$D:$I,4,0)</f>
        <v>1413.21</v>
      </c>
      <c r="H43" s="38">
        <f>VLOOKUP(B43,[13]Report!$D:$I,5,0)/100</f>
        <v>0.52</v>
      </c>
      <c r="I43" s="31">
        <f t="shared" si="2"/>
        <v>678.34079999999994</v>
      </c>
      <c r="J43" s="35"/>
      <c r="K43" s="32">
        <f t="shared" si="3"/>
        <v>0</v>
      </c>
      <c r="L43" s="35">
        <v>989</v>
      </c>
    </row>
    <row r="44" spans="1:12" s="13" customFormat="1" ht="31.5" customHeight="1" x14ac:dyDescent="0.3">
      <c r="A44" s="12"/>
      <c r="B44" s="34" t="s">
        <v>93</v>
      </c>
      <c r="C44" s="34" t="s">
        <v>94</v>
      </c>
      <c r="D44" s="34" t="s">
        <v>110</v>
      </c>
      <c r="E44" s="34" t="s">
        <v>117</v>
      </c>
      <c r="F44" s="33" t="s">
        <v>154</v>
      </c>
      <c r="G44" s="37">
        <f>VLOOKUP(B44,[13]Report!$D:$I,4,0)</f>
        <v>1690</v>
      </c>
      <c r="H44" s="38">
        <f>VLOOKUP(B44,[13]Report!$D:$I,5,0)/100</f>
        <v>0.53</v>
      </c>
      <c r="I44" s="31">
        <f t="shared" si="2"/>
        <v>794.3</v>
      </c>
      <c r="J44" s="35"/>
      <c r="K44" s="32">
        <f t="shared" si="3"/>
        <v>0</v>
      </c>
      <c r="L44" s="35">
        <v>1149</v>
      </c>
    </row>
    <row r="45" spans="1:12" s="13" customFormat="1" ht="31.5" customHeight="1" x14ac:dyDescent="0.3">
      <c r="A45" s="12"/>
      <c r="B45" s="34" t="s">
        <v>95</v>
      </c>
      <c r="C45" s="34" t="s">
        <v>96</v>
      </c>
      <c r="D45" s="34" t="s">
        <v>110</v>
      </c>
      <c r="E45" s="34" t="s">
        <v>117</v>
      </c>
      <c r="F45" s="33" t="s">
        <v>155</v>
      </c>
      <c r="G45" s="37">
        <f>VLOOKUP(B45,[13]Report!$D:$I,4,0)</f>
        <v>2023.23</v>
      </c>
      <c r="H45" s="38">
        <f>VLOOKUP(B45,[13]Report!$D:$I,5,0)/100</f>
        <v>0.52</v>
      </c>
      <c r="I45" s="31">
        <f t="shared" si="2"/>
        <v>971.15039999999999</v>
      </c>
      <c r="J45" s="35"/>
      <c r="K45" s="32">
        <f t="shared" si="3"/>
        <v>0</v>
      </c>
      <c r="L45" s="35">
        <v>1379</v>
      </c>
    </row>
    <row r="46" spans="1:12" s="13" customFormat="1" ht="31.5" customHeight="1" x14ac:dyDescent="0.3">
      <c r="A46" s="12"/>
      <c r="B46" s="34" t="s">
        <v>97</v>
      </c>
      <c r="C46" s="34" t="s">
        <v>98</v>
      </c>
      <c r="D46" s="34" t="s">
        <v>110</v>
      </c>
      <c r="E46" s="34" t="s">
        <v>118</v>
      </c>
      <c r="F46" s="33" t="s">
        <v>156</v>
      </c>
      <c r="G46" s="37">
        <f>VLOOKUP(B46,[13]Report!$D:$I,4,0)</f>
        <v>1006.53</v>
      </c>
      <c r="H46" s="38">
        <f>VLOOKUP(B46,[13]Report!$D:$I,5,0)/100</f>
        <v>0.52</v>
      </c>
      <c r="I46" s="31">
        <f t="shared" si="2"/>
        <v>483.13439999999991</v>
      </c>
      <c r="J46" s="35"/>
      <c r="K46" s="32">
        <f t="shared" si="3"/>
        <v>0</v>
      </c>
      <c r="L46" s="35">
        <v>699</v>
      </c>
    </row>
    <row r="47" spans="1:12" s="13" customFormat="1" ht="31.5" customHeight="1" x14ac:dyDescent="0.3">
      <c r="A47" s="12"/>
      <c r="B47" s="34" t="s">
        <v>99</v>
      </c>
      <c r="C47" s="34" t="s">
        <v>100</v>
      </c>
      <c r="D47" s="34" t="s">
        <v>110</v>
      </c>
      <c r="E47" s="34" t="s">
        <v>119</v>
      </c>
      <c r="F47" s="33" t="s">
        <v>157</v>
      </c>
      <c r="G47" s="37">
        <f>VLOOKUP(B47,[13]Report!$D:$I,4,0)</f>
        <v>1260.7</v>
      </c>
      <c r="H47" s="38">
        <f>VLOOKUP(B47,[13]Report!$D:$I,5,0)/100</f>
        <v>0.55000000000000004</v>
      </c>
      <c r="I47" s="31">
        <f t="shared" si="2"/>
        <v>567.31499999999994</v>
      </c>
      <c r="J47" s="35"/>
      <c r="K47" s="32">
        <f t="shared" si="3"/>
        <v>0</v>
      </c>
      <c r="L47" s="35">
        <v>879</v>
      </c>
    </row>
    <row r="48" spans="1:12" s="13" customFormat="1" ht="31.5" customHeight="1" x14ac:dyDescent="0.3">
      <c r="A48" s="12"/>
      <c r="B48" s="34" t="s">
        <v>101</v>
      </c>
      <c r="C48" s="34" t="s">
        <v>102</v>
      </c>
      <c r="D48" s="34" t="s">
        <v>110</v>
      </c>
      <c r="E48" s="34" t="s">
        <v>119</v>
      </c>
      <c r="F48" s="33" t="s">
        <v>165</v>
      </c>
      <c r="G48" s="37">
        <f>VLOOKUP(B48,[13]Report!$D:$I,4,0)</f>
        <v>1260.7</v>
      </c>
      <c r="H48" s="38">
        <f>VLOOKUP(B48,[13]Report!$D:$I,5,0)/100</f>
        <v>0.55000000000000004</v>
      </c>
      <c r="I48" s="31">
        <f t="shared" si="2"/>
        <v>567.31499999999994</v>
      </c>
      <c r="J48" s="35"/>
      <c r="K48" s="32">
        <f t="shared" si="3"/>
        <v>0</v>
      </c>
      <c r="L48" s="35">
        <v>879</v>
      </c>
    </row>
    <row r="49" spans="1:12" s="13" customFormat="1" ht="31.5" customHeight="1" x14ac:dyDescent="0.3">
      <c r="A49" s="12"/>
      <c r="B49" s="34" t="s">
        <v>103</v>
      </c>
      <c r="C49" s="34" t="s">
        <v>104</v>
      </c>
      <c r="D49" s="34" t="s">
        <v>110</v>
      </c>
      <c r="E49" s="34" t="s">
        <v>119</v>
      </c>
      <c r="F49" s="33" t="s">
        <v>158</v>
      </c>
      <c r="G49" s="37">
        <f>VLOOKUP(B49,[13]Report!$D:$I,4,0)</f>
        <v>1514.88</v>
      </c>
      <c r="H49" s="38">
        <f>VLOOKUP(B49,[13]Report!$D:$I,5,0)/100</f>
        <v>0.53</v>
      </c>
      <c r="I49" s="31">
        <f t="shared" si="2"/>
        <v>711.99360000000001</v>
      </c>
      <c r="J49" s="35"/>
      <c r="K49" s="32">
        <f t="shared" si="3"/>
        <v>0</v>
      </c>
      <c r="L49" s="35">
        <v>999</v>
      </c>
    </row>
    <row r="50" spans="1:12" s="13" customFormat="1" ht="31.5" customHeight="1" x14ac:dyDescent="0.3">
      <c r="A50" s="12"/>
      <c r="B50" s="34" t="s">
        <v>105</v>
      </c>
      <c r="C50" s="34" t="s">
        <v>106</v>
      </c>
      <c r="D50" s="34" t="s">
        <v>110</v>
      </c>
      <c r="E50" s="34" t="s">
        <v>119</v>
      </c>
      <c r="F50" s="33" t="s">
        <v>159</v>
      </c>
      <c r="G50" s="37">
        <f>VLOOKUP(B50,[13]Report!$D:$I,4,0)</f>
        <v>1514.88</v>
      </c>
      <c r="H50" s="38">
        <f>VLOOKUP(B50,[13]Report!$D:$I,5,0)/100</f>
        <v>0.53</v>
      </c>
      <c r="I50" s="31">
        <f t="shared" si="2"/>
        <v>711.99360000000001</v>
      </c>
      <c r="J50" s="35"/>
      <c r="K50" s="32">
        <f t="shared" si="3"/>
        <v>0</v>
      </c>
      <c r="L50" s="35">
        <v>999</v>
      </c>
    </row>
    <row r="51" spans="1:12" s="13" customFormat="1" ht="31.5" customHeight="1" x14ac:dyDescent="0.3">
      <c r="A51" s="12"/>
      <c r="B51" s="34" t="s">
        <v>107</v>
      </c>
      <c r="C51" s="34" t="s">
        <v>108</v>
      </c>
      <c r="D51" s="34" t="s">
        <v>110</v>
      </c>
      <c r="E51" s="34" t="s">
        <v>119</v>
      </c>
      <c r="F51" s="33" t="s">
        <v>160</v>
      </c>
      <c r="G51" s="37">
        <f>VLOOKUP(B51,[13]Report!$D:$I,4,0)</f>
        <v>1921.56</v>
      </c>
      <c r="H51" s="38">
        <f>VLOOKUP(B51,[13]Report!$D:$I,5,0)/100</f>
        <v>0.55000000000000004</v>
      </c>
      <c r="I51" s="31">
        <f t="shared" si="2"/>
        <v>864.702</v>
      </c>
      <c r="J51" s="35"/>
      <c r="K51" s="32">
        <f t="shared" si="3"/>
        <v>0</v>
      </c>
      <c r="L51" s="35">
        <v>1199</v>
      </c>
    </row>
    <row r="52" spans="1:12" x14ac:dyDescent="0.3">
      <c r="B52" s="15"/>
      <c r="C52" s="15"/>
      <c r="D52" s="15"/>
      <c r="E52" s="15"/>
      <c r="F52" s="16"/>
      <c r="G52" s="17"/>
      <c r="H52" s="18"/>
      <c r="I52" s="18"/>
      <c r="J52" s="17"/>
      <c r="K52" s="17"/>
      <c r="L52" s="19"/>
    </row>
    <row r="53" spans="1:12" ht="35.5" customHeight="1" x14ac:dyDescent="0.3">
      <c r="B53" s="20"/>
      <c r="C53" s="21" t="s">
        <v>161</v>
      </c>
      <c r="D53" s="22"/>
      <c r="E53" s="22"/>
      <c r="F53" s="23"/>
      <c r="G53" s="24"/>
      <c r="H53" s="20"/>
      <c r="I53" s="20"/>
      <c r="J53" s="25">
        <f>SUM(J5:J51)</f>
        <v>0</v>
      </c>
      <c r="K53" s="25">
        <f>SUM(K5:K51)</f>
        <v>0</v>
      </c>
      <c r="L53" s="19"/>
    </row>
    <row r="54" spans="1:12" x14ac:dyDescent="0.3">
      <c r="B54" s="22"/>
      <c r="C54" s="22"/>
      <c r="D54" s="22"/>
      <c r="E54" s="22"/>
      <c r="F54" s="26"/>
      <c r="G54" s="24"/>
      <c r="H54" s="20"/>
      <c r="I54" s="20"/>
      <c r="J54" s="24"/>
      <c r="K54" s="24"/>
      <c r="L54" s="27"/>
    </row>
  </sheetData>
  <conditionalFormatting sqref="B54:B1048576 B2 C53 B5 B52">
    <cfRule type="duplicateValues" dxfId="2" priority="267"/>
  </conditionalFormatting>
  <conditionalFormatting sqref="C4">
    <cfRule type="duplicateValues" dxfId="1" priority="1"/>
  </conditionalFormatting>
  <conditionalFormatting sqref="B6:B51">
    <cfRule type="duplicateValues" dxfId="0" priority="287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>SIMPLE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Немченко Ангелина</dc:creator>
  <cp:lastModifiedBy>Старкина Ксения</cp:lastModifiedBy>
  <dcterms:created xsi:type="dcterms:W3CDTF">2025-10-15T06:43:09Z</dcterms:created>
  <dcterms:modified xsi:type="dcterms:W3CDTF">2026-02-12T10:15:43Z</dcterms:modified>
</cp:coreProperties>
</file>