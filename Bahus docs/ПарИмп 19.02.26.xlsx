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.orlov\Downloads\"/>
    </mc:Choice>
  </mc:AlternateContent>
  <bookViews>
    <workbookView xWindow="0" yWindow="0" windowWidth="28800" windowHeight="12210"/>
  </bookViews>
  <sheets>
    <sheet name="Лист1 (2)" sheetId="1" r:id="rId1"/>
  </sheets>
  <definedNames>
    <definedName name="_xlnm._FilterDatabase" localSheetId="0" hidden="1">'Лист1 (2)'!$A$1:$Q$53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1" l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<sst xmlns="http://schemas.openxmlformats.org/spreadsheetml/2006/main" count="377" uniqueCount="180">
  <si>
    <t>Код аналога</t>
  </si>
  <si>
    <t>Код товара</t>
  </si>
  <si>
    <t>АД</t>
  </si>
  <si>
    <t>Страна</t>
  </si>
  <si>
    <t>Вид Напитка</t>
  </si>
  <si>
    <t>Производитель</t>
  </si>
  <si>
    <t>Название</t>
  </si>
  <si>
    <t>Состав</t>
  </si>
  <si>
    <t>Фото</t>
  </si>
  <si>
    <t>Ёмк.,л.</t>
  </si>
  <si>
    <t>Цена РРЦ</t>
  </si>
  <si>
    <t>Скидка</t>
  </si>
  <si>
    <t>Спеццена</t>
  </si>
  <si>
    <t>Заказ</t>
  </si>
  <si>
    <t>Своб. Ост. СПБ</t>
  </si>
  <si>
    <t>Своб. Ост. МСК</t>
  </si>
  <si>
    <t>lwineru Особенности производства</t>
  </si>
  <si>
    <t>ПарИмп</t>
  </si>
  <si>
    <t>США</t>
  </si>
  <si>
    <t>Бурбон</t>
  </si>
  <si>
    <t>Джим Бим Брэндс</t>
  </si>
  <si>
    <t>Виски зерновой (бурбон) Джим Бим 40% 0,75л по 12 Джим Бим Брэндс Ко/США (белая этикетка)</t>
  </si>
  <si>
    <t>Висковый зерновой выдержанный дистиллят (кукуруза, рожь, ячмень), вода исправленная. Выдержка в дубовых бочках не менее 3 лет.</t>
  </si>
  <si>
    <t>0,75</t>
  </si>
  <si>
    <t>Для производства бурбона используют смесь зерновых злаков: кукурузы (не менее 51%), ржи и солода. Готовится затор. Затем сусло ферментируют. После процесса ферментации сусло подвергается двойной дистилляции. Холодная фильтрация. Выдержка в новых бочках из американского дуба сильной обжарки в течение 4 лет.</t>
  </si>
  <si>
    <t>ФРАНЦИЯ</t>
  </si>
  <si>
    <t>Вино игристое</t>
  </si>
  <si>
    <t>Моэт Хеннесси</t>
  </si>
  <si>
    <t>Моэт и Шандон Империаль 2019 игрист выдерж брют бел.0,75 п/у по 6 ШАМПАНЬ МОЭТ И ШАНДОН/Франция/</t>
  </si>
  <si>
    <t>Пино нуар, менье, шардоне Выдержка на осадке в бутылке не менее 12 месяцев.</t>
  </si>
  <si>
    <t>Ручной сбор урожая. Сортировка ягод. Мягкое прессование. Терморегулируемая алкогольная ферментация при низких температурах. Вторичное брожение и  выдержка на осадке в бутылках в подвалах. Создан из более чем 100 различных вин, из которых от 20% до 30% являются резервными, специально отобранными для формирования зрелости, сложности и постоянства, ассамбляж отражает разнообразие и взаимодополняемость сортов винограда.
Выдержка шампанского на осадке длится 24 месяца, дополнительная выдержка – 3 месяца.</t>
  </si>
  <si>
    <t>МХСС</t>
  </si>
  <si>
    <t>Моэт и Шандон Розе Империаль 2019 игр выд брют роз 0,75л п/у по6 ШАМПАНЬ МОЭТ И ШАНДОН/Франция/</t>
  </si>
  <si>
    <t>Пино нуар, шардоне, менье. Выдержка на осадке в бутылке не менее 12 месяцев.</t>
  </si>
  <si>
    <t>Ручной сбор урожая. Сортировка ягод. Мягкое прессование. Терморегулируемая ферментация при низких температурах. Вторичное брожение и выдержка на осадке в бутылках в подвалах. Создан из более чем 100 различных вин, из которых от 20% до 30% являются резервными, специально отобранными для формирования зрелости, сложности и постоянства, ассамбляж отражает разнообразие и взаимодополняемость сортов винограда.</t>
  </si>
  <si>
    <t>Вдова Клико Понсардин 2019 игристое выдерж брют бел 0,75л в п/у по 6 Вдова Клико Понсардин(Л-Т)</t>
  </si>
  <si>
    <t>Ручной сбор урожая. Сортировка ягод. Мягкое прессование. Терморегулируемая ферментация при низких температурах. Вторичное брожение и  выдержка на осадке в бутылках в подвалах не менее 3 лет.</t>
  </si>
  <si>
    <t>Моэт и Шандон Розе Империаль 2019 игр выд брют роз 0,75л по6 ШАМПАНЬ МОЭТ И ШАНДОН/Франц(переуп)</t>
  </si>
  <si>
    <t>Рюинар 2019 вино игрист.выдерж. брют белое 0,75л. по 6 Мэзон Рюинар/Франция</t>
  </si>
  <si>
    <t>Шардоне, пино нуар, пино менье. Выдержка на осадке в бутылке не менее 12 месяцев.</t>
  </si>
  <si>
    <t>Ручной сбор урожая. Прессование целых гроздей. Алкогольная ферментация и яблочно-молочное брожение в стальных резервуарах. Повторная ферментация в бутылках с последующей выдержкой на осадке.</t>
  </si>
  <si>
    <t>Рюинар Розе 2019 игристое выдержанное брют роз. 0,75 по 6 Мэзон Рюинар / Франция</t>
  </si>
  <si>
    <t>Пино нуар, шардоне. Выдержка в бутылке на осадке 2-3 года.</t>
  </si>
  <si>
    <t>Сбор урожая вручную. Алкогольная ферментация в чанах из нержавеющей стали при контролируемой температуре. Яблочно-молочное брожение. Ассамбляж из 30-40 крю, включая 20–30% резервного вина разных урожаев. Выдержка на осадке в бутылках в течение 2–3 лет. Дозаж 8 г/л.</t>
  </si>
  <si>
    <t>Рюинар Розе 2019 игристое выдержанное брют роз. 0,75 по 6 п/у (Секонд Скин) МХСС/ Франция</t>
  </si>
  <si>
    <t>Рюинар Блан де Блан 2019 игристое выдерж. брют бел. 0,75 по 6 Мэзон Рюинар/ Франция</t>
  </si>
  <si>
    <t>Шардоне. Выдержка на осадке в бутылке не менее 12 месяцев.</t>
  </si>
  <si>
    <t>Сбор урожая вручную. Алкогольная ферментация в чанах из нержавеющей стали при контролируемой температуре. Яблочно-молочное брожение. Ассамбляж из 25-30 крю, включая 20–30% резервного вина разных урожаев. Выдержка на осадке в бутылках в течение 2–3 лет. Дозаж 7 г/л.</t>
  </si>
  <si>
    <t>Рюинар Блан де Блан 2019 игристое выдерж. брют бел. 0,75 по 6 п/у Мэзон Рюинар/Франция</t>
  </si>
  <si>
    <t>Виски</t>
  </si>
  <si>
    <t>Джек Дэниел Дистиллери</t>
  </si>
  <si>
    <t>Виски зерновой Джек Дэниел'с Теннесси Виски 40% 0,05 л по 120 Джек Дэниэл Дистиллери /США(ПЭТ)</t>
  </si>
  <si>
    <t>Висковый зерновой выдержанный дистиллят, вода. Выдержка в течение 3 лет.</t>
  </si>
  <si>
    <t>0,05</t>
  </si>
  <si>
    <t>Виски производится по легендарному рецепту, разработанному Джеком Дэниелом. 
Сусло из кукурузы (80%), ячменя (12%) и ржи (8%) ферментируется в течение 6 дней. Дистилляты проходят процесс фильтрации через уголь сахарного клена, после чего выдерживаются в дубовых бочках не менее 3 лет.</t>
  </si>
  <si>
    <t>Виски зерновой Джек Дэниел'с Теннесси Виски 40% 0,7л. по 12 Джек Дэниэл Дистиллери /США(Л-Т)</t>
  </si>
  <si>
    <t>Висковый зерновой выдержанный дистиллят, вода исправленная. Выдержка в дубовых бочках не менее 3 лет.</t>
  </si>
  <si>
    <t>0,7</t>
  </si>
  <si>
    <t>ЯПОНИЯ</t>
  </si>
  <si>
    <t>Сантори Спиритс</t>
  </si>
  <si>
    <t>Виски зерновой Чита Дистиллер`с Резерв 43% 0,7 п/у по 6 Сантори Спиритс Лимитед/Япония</t>
  </si>
  <si>
    <t>Висковый зерновой выдержанный дистиллят , вода исправленная. Выдержка в дубовых бочках 3 года.</t>
  </si>
  <si>
    <t>Компания Suntory построила дистиллерию Chita в 1972 году для производства разничных зерновых виски (преимущественно на основе кукурузы).</t>
  </si>
  <si>
    <t>Виски зерновой Чита Дистиллер`с Резерв 43% 0,7 по 6 Сантори Спиритс Лимитед/Япония (переуп.) руп</t>
  </si>
  <si>
    <t>-</t>
  </si>
  <si>
    <t>ВЕЛИКОБРИТАНИЯ</t>
  </si>
  <si>
    <t>Компас Бокс Виски Ко.</t>
  </si>
  <si>
    <t>Виски шотландский зерновой Гедонизм 43,0% 0,7 по 6 Компас Бокс Виски Ко./Великобритания</t>
  </si>
  <si>
    <t>Висковые зерновые выдержанные дистилляты (кукуруза, рожь, ячмень), вода исправленная. Выдержка спиртов в американских дубовых бочках из под бурбона не менее 17 лет.</t>
  </si>
  <si>
    <t>Зерновые спирты выдержаны в американских дубовых бочках из под бурбона второго наполнения. Купаж состоит из спиртов, выдержанных  от 14 до 29 лет.</t>
  </si>
  <si>
    <t>ИРЛАНДИЯ</t>
  </si>
  <si>
    <t>Виски купажированный</t>
  </si>
  <si>
    <t>Айриш Дистиллерс Лимитед</t>
  </si>
  <si>
    <t>Виски Ирландский купажированный Джемесон 0,7 л. по 6 Айриш Дистиллерс Лимитед / Ирландия</t>
  </si>
  <si>
    <t>Висковые выдержанные дистилляты солодовые и зерновые, вода исправленная, натуральная карамель. Выдержка в дубовых бочках 3 года.</t>
  </si>
  <si>
    <t>В производстве используются лишь ячменные и зерновые спирты, чистейшая вода и натуральная карамель. Сушка солода происходит в специальных печах, что позволяет сохранить все вкусовые качества. Исключительная мягкость виски достигается тройной дистилляцией, после которой следует выдержка в дубовых бочках минимум 4 года.</t>
  </si>
  <si>
    <t>Чивас Бразерс Лимитед</t>
  </si>
  <si>
    <t>Виски шотландский купажированный Чивас Ригал 12 лет 40,0% 0,75 по12 Чивас Бразерс Лимитед/Великобрит</t>
  </si>
  <si>
    <t>Висковые выдержанные дистилляты солодовые и зерновые, вода, сахар. Выдержка дистиллятов 12 лет.</t>
  </si>
  <si>
    <t>Джеймс Чивас считал, что купажирование виски строится на двух основополагающих принципах: старых, выдержанных запасах и отчетливом присутствии характерных черт Спейсайда. Мастер купажа Колин Скотт придерживается этих принципов и создает виски с минимальной выдержкой в 12 лет и с большой долей молтов из Спейсайда.</t>
  </si>
  <si>
    <t>Виски шотландский купажированный Чивас Ригал 18 лет 40,0% 0,75 в п/у по 6 Чивас Бразерс Лимитед(Л-Т)</t>
  </si>
  <si>
    <t>Дистилляты висковые выдержанные, вода, сахар. Выдержка 18 лет.</t>
  </si>
  <si>
    <t>Chivas 18 – это сложный и одновременно изысканный виски. Невероятный купаж 85 висковых спиртов, сбалансированный и невероятно мягкий шотландский виски выдержанный в дубовых бочках не менее 18 лет.</t>
  </si>
  <si>
    <t>Международные бренды</t>
  </si>
  <si>
    <t>Напиток спиртной зерн. дист. купаж. "Бэллс Пряный", креп. 35% об., 1 л х 6</t>
  </si>
  <si>
    <t>1</t>
  </si>
  <si>
    <t>Спиртной напиток Bell's Spiced создан на основе оригинального купажированного скотча с добавлением  натуральной корицы, ванили и фруктов; выдержан в дубовых бочках.</t>
  </si>
  <si>
    <t>Диаджео</t>
  </si>
  <si>
    <t>Виски шотландский купажированный Джонни Уокер Блэк Лейбл 40% 1,0л в п/у по 12 Диаджео Скотланд</t>
  </si>
  <si>
    <t>Вода подготовленная, выдержанный зерновой дистиллят, выдержанный солодовый дистиллят. Выдержка в дубовых бочках не менее 12 лет.</t>
  </si>
  <si>
    <t>Бленд лучших зерновых и солодовых дистиллятов, выдержанный в дубовых бочках не менее 12 лет.</t>
  </si>
  <si>
    <t>Виски солодовый</t>
  </si>
  <si>
    <t>Бим Сантори Дистрибьюшн</t>
  </si>
  <si>
    <t>Виски шотландский солодовый Акентошан Американ Оук 40% 0,7л в п/у по 6 Бим Сантори Юкей ЛТД/Великобр</t>
  </si>
  <si>
    <t>Висковые солодовые выдержанные дистилляты, вода, натуральная карамель. Выдержка в дубовых бочках 3 года.</t>
  </si>
  <si>
    <t>Односолодовый шотландский виски производится из тщательно отобранных дистиллятов, выдержанных в американских дубовых бочках из-под бурбона не менее 3 лет.</t>
  </si>
  <si>
    <t>Бим Сантори ЮКей</t>
  </si>
  <si>
    <t>Виски шотландский солодовый Акентошан 12 лет 40% 0,7л п/у по 6 Бим Сантори Юкей ЛТД/Великобритания</t>
  </si>
  <si>
    <t>Висковые солодовые выдержанные дистилляты, вода исправленная, натуральная карамель. Выдержка в дубовых бочках 12 лет.</t>
  </si>
  <si>
    <t>Соложение ячменя (аккуратно подсушенного, полностью очищенного от торфа). Ячмень измельчают, чтобы получилась равномерно измельченная крахмальная крупа, максимизирующая количество крахмала, который превращается в сахара во время затирания. Молотый соложеный ячмень и чистую воду загружают в фильтрующий чан при температуре +63,5°C. Тепло помогает превратить крахмалы в сахар. После двух заливок сусло готово к брожению. Переброженное сусло подвергается тройной дистилляции, которая поднимает крепость с 8% до примерно 81%. Auchentoshan тратит много времени и усилий на выбор определенных бочек и на балансировку уникальных ароматов, которые придает каждая бочка: выдержка в бочках из-под хереса олоросо и из-под бурбона в течение 12 лет.</t>
  </si>
  <si>
    <t>Диаджео Скотланд Лимитед</t>
  </si>
  <si>
    <t>Виски шотл солод Синглтон Глендаллан Селект Игра Престолов Дом Талли 40% 0,7л п/у по6 Диаджео Скотла</t>
  </si>
  <si>
    <t>Висковый солодовый выдержанный дистиллят, вода, сахар. Выдержка в дубовых бочках 12 лет.</t>
  </si>
  <si>
    <t>Соложение ячменя, сушка. Дробление солода, добавление горячей воды и дрожжей. Ферментация сусла. Традиционная дистилляция в медных перегонных кубах (pot still). Выдержка дистиллятов в бочках из-под бурбона в течение 12 лет.</t>
  </si>
  <si>
    <t>Виски шотландский солодовый Лагавулин 8 лет 48% 0,7 п/у по 6 Диаджео Скотланд Лимитед/Великобритания</t>
  </si>
  <si>
    <t>Висковый солодовый выдержанный дистиллят, вода исправленная, натуральная карамель. Выдержка в дубовых бочках 8 лет.</t>
  </si>
  <si>
    <t>Для создания виски используют ячмень шотландского происхождения, окуренный торфяным дымом. Спирты выдерживают на берегах залива Лагавулин в дубовых бочках не менее 8 лет.</t>
  </si>
  <si>
    <t>Макаллан Дистиллерс</t>
  </si>
  <si>
    <t>Виски шотландский солодовый Макаллан Дабл Каск 12 лет 40% 0,7л. п/у по 6 Макаллан (нов. диз. 2025)</t>
  </si>
  <si>
    <t>Висковые солодовые выдержанные дистилляты, вода исправленная. Выдержка в дубовых бочках из-под хереса не менее 12 лет.</t>
  </si>
  <si>
    <t>Виски выдерживается в бочках из-под хереса двух видов, сделанных из американского и европейского дуба, не менее 12 лет.</t>
  </si>
  <si>
    <t>Виски японский солодовый Хакушу Дистиллерс Резерв 43,0% 0,7л п/у по 6 Сантори Спиритс Лимитед/Япония</t>
  </si>
  <si>
    <t>висковый солодовый выдержанный дистиллят, вода исправленная. Выдержка в дубовых бочках 3 года.</t>
  </si>
  <si>
    <t>Соложение ячменя, сушка. Дробление солода, добавление горячей воды и дрожжей. Ферментация сусла. Традиционная дистилляция в медных перегонных кубах (pot still). Выдержка дистиллятов в бочках не менее 3 лет.</t>
  </si>
  <si>
    <t>Виски шотландский солодовый Лагавулин 9 лет Игра Престолов Дом Ланнистеров 46% 0,7 п/у по 6 Диаджео</t>
  </si>
  <si>
    <t>Висковые выдержанные солодовые дистилляты, вода, натуральная карамель. Выдержка в дубовых бочках 9 лет.</t>
  </si>
  <si>
    <t>Ячмень шотландского происхождения, окуренный торфяным дымом, медленная дистилляция, выдержка  на берегах залива в дубовых бочках в течение 9 лет.</t>
  </si>
  <si>
    <t>Гленливет  Дистиллери</t>
  </si>
  <si>
    <t>Виски шотландский солодовый Гленливет 18 лет 40% 0,7л. п/у по 6 Гленливет Дистиллери/Великобрит</t>
  </si>
  <si>
    <t>Дистилляты висковые выдержанные, вода, натуральная карамель. Выдержка 18 лет.</t>
  </si>
  <si>
    <t>На протяжении более 18 лет мастер купажа Алан Винчестер добивается неповторимого стиля The Glenlivet 18 y.o., используя бочки из американского дуба первого и второго наполнения и дубовые бочки из-под хереса.</t>
  </si>
  <si>
    <t>Хайленд Парк Дистиллери</t>
  </si>
  <si>
    <t>Виски шотландский солодовый Хайленд Парк 18 лет Викинг Прайд 43% 0,7 п/у по 6 Хайленд Парк Дистилле</t>
  </si>
  <si>
    <t>Висковые выдержанные солодовые дистилляты, вода. Выдержка в дубовых бочках 18 лет.</t>
  </si>
  <si>
    <t>Виски выдержан в тщательно отобранных бочках из европейского дуба из-под хереса в течение 18 лет.</t>
  </si>
  <si>
    <t>Виски шотландский солодовый Макаллан Дабл Каск 18 лет 43% 0,7л п/у по 6 Макаллан Дис(нов. диз. 2025)</t>
  </si>
  <si>
    <t>Вода подготовленная, висковые солодовые выдержанные дистилляты. Выдержка в дубовых бочках не менее 18 лет.</t>
  </si>
  <si>
    <t>Виски производится с использованием двух видов бочек из-под хереса, сделанных из американского и европейского дуба. Выдержка составляет 18 лет.</t>
  </si>
  <si>
    <t>Макдональд энд Мюир</t>
  </si>
  <si>
    <t>Виски шотланд солод Гленморанджи Элемента 14 лет 43% 1,0 п/у по 6 Макдональд энд Мюир/Великобритания</t>
  </si>
  <si>
    <t>Дистилляты висковые выдержанные солодовые, вода. Выдержка 14 лет в дубовых бочках.</t>
  </si>
  <si>
    <t>Выдержка виски в дубовых бочках в течение 14 лет.</t>
  </si>
  <si>
    <t>Виски шотландский солодовый Синглтон 18 лет 40% п/у 1,0л в по 6 Диаджео Скотланд Лтд/Великобритания</t>
  </si>
  <si>
    <t>Висковые солодовые выдержанные дистилляты, вода исправленная. Выдержка в дубовых бочках 18 лет.</t>
  </si>
  <si>
    <t>Производство начинается с соложения зерна. Зерно проращивают и сушат в специальных условиях, далее в солод добавляют чистую, мягкую воду из известного в Шотландии источника Dorie’s Wel (Колодец Дори). Процесс брожения длится 120 часов. Затем виски выдерживается 18 лет в бочках из европейского и американского дуба.</t>
  </si>
  <si>
    <t>Коньяк</t>
  </si>
  <si>
    <t>Мартель энд Ко.</t>
  </si>
  <si>
    <t>Коньяк трехлетний Мартель ВС 2018 40% 0,7л. по 6 Мартель энд Ко. /Франция (Л-Т)</t>
  </si>
  <si>
    <t>Выдержанные коньячные дистилляты, вода исправленная, натуральная карамель. Минимальный срок выдержки спиртов – 3 года.</t>
  </si>
  <si>
    <t>Это – самый молодой коньяк дома Мартель, выдержанный 3 года в дубовых бочках. Коньяк Martell VS произведен из спиртов, полученных путем дистилляции только вин региона Коньяк во Франции.</t>
  </si>
  <si>
    <t>Коньяк трехлетний Мартель ВС 2018 40% 0,7 в п/у по 6 Мартель энд Ко./Франция (Л-Т)</t>
  </si>
  <si>
    <t>Выдержанные коньячные дистилляты, вода исправленная, натуральная карамель. Минимальный срок выдержки спиртов 3 года.</t>
  </si>
  <si>
    <t>Коньяк четырехлетний Мартель ВСОП 2018 40% 0,7 по 12 Мартель энд Ко./Франция (переуп.) руп</t>
  </si>
  <si>
    <t>Выдержанные коньячные дистилляты, вода, сахар. Минимальный срок выдержки коньячных дистиллятов 4 года.</t>
  </si>
  <si>
    <t>Коньяк четырехлетний Мартель ВСОП 2018 1л. в п/у по 12 Мартель энд Ко. /Франция</t>
  </si>
  <si>
    <t>Выдержанные коньячные дистилляты, вода. Минимальный срок выдержки коньячных дистиллятов 4 года.</t>
  </si>
  <si>
    <t>Для изготовления коньяка Martell используют виноград сорта уни блан, растущий на кремнисто-глинистой почве Бордери. На дистилляцию в медных перегонных кубах поступает исключительно чистое, осветленное вино без осадка и примесей. Выдержка коньячных спиртов проходит в дубовых бочках из тронсейского дуба, имеющего мягкую, мелкозернистую структуру. Используются тщательно отобранные бочки, в которых ранее уже выдерживались коньячные спирты.</t>
  </si>
  <si>
    <t>Коньяк четырехлетний Мартель ВСОП 2018 1л. по 12 Мартель энд Ко. /Франция (переуп.) руп</t>
  </si>
  <si>
    <t>НИДЕРЛАНДЫ</t>
  </si>
  <si>
    <t>Ликер</t>
  </si>
  <si>
    <t>Люкас Болс Амстердам Б.В.</t>
  </si>
  <si>
    <t>Ликер десертный Пизанг Амбон Ориджинал 17,0% 1л по 6 Люкас Болс Амстердам Б.В./Нидерланды</t>
  </si>
  <si>
    <t>вода, спирт высшей очистки класса «люкс», сахарный сироп, натуральная ароматическая основа «банан»</t>
  </si>
  <si>
    <t>ГЕРМАНИЯ</t>
  </si>
  <si>
    <t>Георг Хемметер ГмбХ</t>
  </si>
  <si>
    <t>Ликер десертный Ксу Ксу клубничный с водкой 15,0% 1л по 6 Георг Хемметер ГмбХ/ Германия</t>
  </si>
  <si>
    <t>вода, сок клубничный, спирт высшей очистки класса «люкс», сахарный сироп, сок лайма, натуральная ароматическая основа «клубника»</t>
  </si>
  <si>
    <t>Ром</t>
  </si>
  <si>
    <t>Спиртной напиток Капитан Морган Ориджинал Спайсд Голд 35% 0,7л по 6 Диаджео Скотланд Лтд/Великобрита</t>
  </si>
  <si>
    <t>вода, ромовые невыдержанные дистилляты, натуральные ароматизаторы (экстракты ванили и кассии), сахар</t>
  </si>
  <si>
    <t>Напиток Captain Morgan Spiced Gold - это гармоничное сочетание высококлассного дистиллята из ямайского сахарного тростника и уникальной смеси из карибских экзотических специй.</t>
  </si>
  <si>
    <t>Невыдержанный ром Капитан Морган Ориджинал Дарк Рам 40% 0,7л по 6 Диаджео Скотланд Лтд/Великобрита</t>
  </si>
  <si>
    <t>вода, ромовые невыдержанные дистилляты, сахар</t>
  </si>
  <si>
    <t>Напиток Captain Morgan Dark создан из высококлассного спирта из ямайского сахарного тростника методом пятикратной дистилляции.</t>
  </si>
  <si>
    <t>МЕКСИКА</t>
  </si>
  <si>
    <t>Текила</t>
  </si>
  <si>
    <t>Перно Рикар</t>
  </si>
  <si>
    <t>Спиртной Напиток Текила Ольмека Золотая 35% 0,7л по 6 Перно Рикар Мехико С.А. де С.В./МЕКСИКА</t>
  </si>
  <si>
    <t>дистиллят на основе голубой агавы, вода исправленная, натуральная карамель, натуральный ароматизатор (экстракт дуба)</t>
  </si>
  <si>
    <t>Текила Olmeca Gold представляет собой купаж текилы Blanco и Reposado и выдерживается в бочках из-под бурбона в течение 2-6 месяцев. Для текилы Olmeca собирают исключительно созревшую агаву из региона Халиско. Глaвнoй ocoбeннocтью тexнoлoгичecкoгo пpoцecca cчитaeтcя пpимeнeниe cпeциaльныx мeдныx пepeгoнныx кубoв – aлaмбикoв для диcтилляции нaпиткa. Meдь cпocoбcтвуeт нeпpepывнoму и paвнoмepнoму перегону, нaдeляeт тeкилу ocoбым apoмaтoм и вкуcoм.</t>
  </si>
  <si>
    <t>Спиртной напиток Текила Ольмека Сильвер 35% 0,7л по6 Перно Рикар Мехико С.А. де С.В./МЕКСИКА(нов.шк)</t>
  </si>
  <si>
    <t>дистиллят на основе голубой агавы, исправленная вода</t>
  </si>
  <si>
    <t>Для текилы Olmeca собирают исключительно созревшую агаву из региона Халиско. Главной особeнностью тexнoлoгичecкoгo пpoцecca cчитaeтcя пpимeнeниe cпeциaльныx мeдныx пepeгoнныx кубoв – aлaмбикoв для диcтилляции нaпиткa. Meдь cпocoбcтвуeт нeпpepывнoму и paвнoмepнoму пepeгoну, нaдeляeт тeкилу ocoбым apoмaтoм и вкуcoм.</t>
  </si>
  <si>
    <t>Продуктос Финос де Агаве</t>
  </si>
  <si>
    <t>Спиртной напиток Класе Азул Репосадо Текила 40% 0,75 п/у по 6 Продуктос Финос де Агаве С.А. де С.В.</t>
  </si>
  <si>
    <t>вода, дистиллят из голубой агавы</t>
  </si>
  <si>
    <t>Для производства текилы используют голубую агаву, выращенную в штате Халиско, возрастом от 6 до 8 лет. Её запекают в специальных каменных печах в течение 72 часов. Запеченная агава проходит двойную дистилляцию в медных перегонных кубах. Выдержка в бочках из американского виски в течение 8 месяцев.</t>
  </si>
  <si>
    <t>Спиртной напиток Дон Хулио 1942 Примавера Текила Репосадо 40% 0,75л по 6 Диаджео Мехико Комерсьялиза</t>
  </si>
  <si>
    <t>Дистиллят из сока голубой агавы, вода. Выдержка в дубовых бочках не менее 12 месяцев.</t>
  </si>
  <si>
    <t>В 1942 году Дон Хулио Гонсалес приобрел дистиллерию La Primavera в Атотонилько-Эль-Альто. Текила Don Julio Primavera Reposado – дань уважения наследию основателя компании, поскольку он считал, что текила репосадо — это лучшая текила. 
Выдержка Don Julio Primavera Reposado проходит в бочках из американского белого дуба в течение 8 месяцев, в которой ранее созревало вино, а также мацерацию на апельсиновой цедре.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</si>
</sst>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8"/>
      <color rgb="FF000000"/>
      <name val="Montserrat"/>
      <charset val="204"/>
    </font>
    <font>
      <sz val="8"/>
      <name val="Montserrat"/>
      <charset val="204"/>
    </font>
    <font>
      <sz val="10"/>
      <name val="Montserrat"/>
      <charset val="204"/>
    </font>
    <font>
      <b/>
      <sz val="10"/>
      <name val="Montserrat"/>
      <charset val="204"/>
    </font>
  </fonts>
  <fills count="3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Fill="1" applyBorder="1" applyAlignment="1" applyProtection="1">
      <alignment horizontal="center" vertical="center" wrapText="1"/>
    </xf>
    <xf numFmtId="44" fontId="4" fillId="0" borderId="3" xfId="1" applyFont="1" applyFill="1" applyBorder="1" applyAlignment="1" applyProtection="1">
      <alignment horizontal="center" vertical="center" wrapText="1"/>
    </xf>
    <xf numFmtId="9" fontId="4" fillId="0" borderId="3" xfId="2" applyFont="1" applyBorder="1" applyAlignment="1">
      <alignment horizontal="center" vertical="center" wrapText="1"/>
    </xf>
    <xf numFmtId="44" fontId="5" fillId="0" borderId="3" xfId="1" applyFont="1" applyFill="1" applyBorder="1" applyAlignment="1" applyProtection="1">
      <alignment horizontal="center" vertical="center" wrapText="1"/>
    </xf>
    <xf numFmtId="4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0" xfId="0" applyFont="1"/>
    <xf numFmtId="9" fontId="0" fillId="0" borderId="0" xfId="2" applyFont="1"/>
    <xf numFmtId="9" fontId="4" fillId="0" borderId="0" xfId="2" applyFon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</xdr:row>
      <xdr:rowOff>184110</xdr:rowOff>
    </xdr:from>
    <xdr:to>
      <xdr:col>8</xdr:col>
      <xdr:colOff>1400175</xdr:colOff>
      <xdr:row>1</xdr:row>
      <xdr:rowOff>575826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62592" y="37068"/>
          <a:ext cx="391716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</xdr:row>
      <xdr:rowOff>80168</xdr:rowOff>
    </xdr:from>
    <xdr:to>
      <xdr:col>8</xdr:col>
      <xdr:colOff>1400175</xdr:colOff>
      <xdr:row>2</xdr:row>
      <xdr:rowOff>818355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89356" y="992187"/>
          <a:ext cx="738187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</xdr:row>
      <xdr:rowOff>80884</xdr:rowOff>
    </xdr:from>
    <xdr:to>
      <xdr:col>8</xdr:col>
      <xdr:colOff>1400175</xdr:colOff>
      <xdr:row>3</xdr:row>
      <xdr:rowOff>816690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0547" y="1877537"/>
          <a:ext cx="735806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</xdr:row>
      <xdr:rowOff>55880</xdr:rowOff>
    </xdr:from>
    <xdr:to>
      <xdr:col>8</xdr:col>
      <xdr:colOff>1400175</xdr:colOff>
      <xdr:row>4</xdr:row>
      <xdr:rowOff>875030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48875" y="2780030"/>
          <a:ext cx="819150" cy="1333500"/>
        </a:xfrm>
        <a:prstGeom prst="rect">
          <a:avLst/>
        </a:prstGeom>
      </xdr:spPr>
    </xdr:pic>
    <xdr:clientData/>
  </xdr:twoCellAnchor>
  <xdr:twoCellAnchor>
    <xdr:from>
      <xdr:col>8</xdr:col>
      <xdr:colOff>57150</xdr:colOff>
      <xdr:row>5</xdr:row>
      <xdr:rowOff>262215</xdr:rowOff>
    </xdr:from>
    <xdr:to>
      <xdr:col>8</xdr:col>
      <xdr:colOff>1390650</xdr:colOff>
      <xdr:row>5</xdr:row>
      <xdr:rowOff>615831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72117" y="3639423"/>
          <a:ext cx="353616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6</xdr:row>
      <xdr:rowOff>155893</xdr:rowOff>
    </xdr:from>
    <xdr:to>
      <xdr:col>8</xdr:col>
      <xdr:colOff>1400175</xdr:colOff>
      <xdr:row>6</xdr:row>
      <xdr:rowOff>641668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15562" y="4485006"/>
          <a:ext cx="485775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7</xdr:row>
      <xdr:rowOff>157679</xdr:rowOff>
    </xdr:from>
    <xdr:to>
      <xdr:col>8</xdr:col>
      <xdr:colOff>1400175</xdr:colOff>
      <xdr:row>7</xdr:row>
      <xdr:rowOff>637501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18539" y="5369640"/>
          <a:ext cx="479822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8</xdr:row>
      <xdr:rowOff>69596</xdr:rowOff>
    </xdr:from>
    <xdr:to>
      <xdr:col>8</xdr:col>
      <xdr:colOff>1400175</xdr:colOff>
      <xdr:row>8</xdr:row>
      <xdr:rowOff>843026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71735" y="6314186"/>
          <a:ext cx="773430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9</xdr:row>
      <xdr:rowOff>156532</xdr:rowOff>
    </xdr:from>
    <xdr:to>
      <xdr:col>8</xdr:col>
      <xdr:colOff>1400175</xdr:colOff>
      <xdr:row>9</xdr:row>
      <xdr:rowOff>640177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16627" y="7142055"/>
          <a:ext cx="483645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10</xdr:row>
      <xdr:rowOff>145204</xdr:rowOff>
    </xdr:from>
    <xdr:to>
      <xdr:col>8</xdr:col>
      <xdr:colOff>1400175</xdr:colOff>
      <xdr:row>10</xdr:row>
      <xdr:rowOff>666603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97750" y="8035429"/>
          <a:ext cx="521399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11</xdr:row>
      <xdr:rowOff>185538</xdr:rowOff>
    </xdr:from>
    <xdr:to>
      <xdr:col>8</xdr:col>
      <xdr:colOff>1400175</xdr:colOff>
      <xdr:row>11</xdr:row>
      <xdr:rowOff>572491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64973" y="8894365"/>
          <a:ext cx="386953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12</xdr:row>
      <xdr:rowOff>176608</xdr:rowOff>
    </xdr:from>
    <xdr:to>
      <xdr:col>8</xdr:col>
      <xdr:colOff>1400175</xdr:colOff>
      <xdr:row>12</xdr:row>
      <xdr:rowOff>593327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50090" y="9786143"/>
          <a:ext cx="416719" cy="1333500"/>
        </a:xfrm>
        <a:prstGeom prst="rect">
          <a:avLst/>
        </a:prstGeom>
      </xdr:spPr>
    </xdr:pic>
    <xdr:clientData/>
  </xdr:twoCellAnchor>
  <xdr:twoCellAnchor>
    <xdr:from>
      <xdr:col>8</xdr:col>
      <xdr:colOff>133350</xdr:colOff>
      <xdr:row>13</xdr:row>
      <xdr:rowOff>103389</xdr:rowOff>
    </xdr:from>
    <xdr:to>
      <xdr:col>8</xdr:col>
      <xdr:colOff>1037337</xdr:colOff>
      <xdr:row>13</xdr:row>
      <xdr:rowOff>809629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957249" y="10958265"/>
          <a:ext cx="706240" cy="903987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14</xdr:row>
      <xdr:rowOff>201255</xdr:rowOff>
    </xdr:from>
    <xdr:to>
      <xdr:col>8</xdr:col>
      <xdr:colOff>1400175</xdr:colOff>
      <xdr:row>14</xdr:row>
      <xdr:rowOff>535821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91167" y="11541363"/>
          <a:ext cx="334566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15</xdr:row>
      <xdr:rowOff>208042</xdr:rowOff>
    </xdr:from>
    <xdr:to>
      <xdr:col>8</xdr:col>
      <xdr:colOff>1400175</xdr:colOff>
      <xdr:row>15</xdr:row>
      <xdr:rowOff>519986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302478" y="12422664"/>
          <a:ext cx="311944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16</xdr:row>
      <xdr:rowOff>204828</xdr:rowOff>
    </xdr:from>
    <xdr:to>
      <xdr:col>8</xdr:col>
      <xdr:colOff>1400175</xdr:colOff>
      <xdr:row>16</xdr:row>
      <xdr:rowOff>527487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97120" y="13310633"/>
          <a:ext cx="322659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17</xdr:row>
      <xdr:rowOff>176282</xdr:rowOff>
    </xdr:from>
    <xdr:to>
      <xdr:col>8</xdr:col>
      <xdr:colOff>1400175</xdr:colOff>
      <xdr:row>17</xdr:row>
      <xdr:rowOff>594089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49546" y="14215486"/>
          <a:ext cx="417807" cy="1333500"/>
        </a:xfrm>
        <a:prstGeom prst="rect">
          <a:avLst/>
        </a:prstGeom>
      </xdr:spPr>
    </xdr:pic>
    <xdr:clientData/>
  </xdr:twoCellAnchor>
  <xdr:twoCellAnchor>
    <xdr:from>
      <xdr:col>8</xdr:col>
      <xdr:colOff>104775</xdr:colOff>
      <xdr:row>18</xdr:row>
      <xdr:rowOff>108745</xdr:rowOff>
    </xdr:from>
    <xdr:to>
      <xdr:col>8</xdr:col>
      <xdr:colOff>1219200</xdr:colOff>
      <xdr:row>18</xdr:row>
      <xdr:rowOff>805261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38755" y="15282665"/>
          <a:ext cx="696516" cy="1114425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19</xdr:row>
      <xdr:rowOff>197684</xdr:rowOff>
    </xdr:from>
    <xdr:to>
      <xdr:col>8</xdr:col>
      <xdr:colOff>1400175</xdr:colOff>
      <xdr:row>19</xdr:row>
      <xdr:rowOff>544156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85214" y="15972870"/>
          <a:ext cx="346472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20</xdr:row>
      <xdr:rowOff>65523</xdr:rowOff>
    </xdr:from>
    <xdr:to>
      <xdr:col>8</xdr:col>
      <xdr:colOff>1400175</xdr:colOff>
      <xdr:row>20</xdr:row>
      <xdr:rowOff>852526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64948" y="16946800"/>
          <a:ext cx="787003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21</xdr:row>
      <xdr:rowOff>81955</xdr:rowOff>
    </xdr:from>
    <xdr:to>
      <xdr:col>8</xdr:col>
      <xdr:colOff>1400175</xdr:colOff>
      <xdr:row>21</xdr:row>
      <xdr:rowOff>814189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92333" y="17821672"/>
          <a:ext cx="732234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22</xdr:row>
      <xdr:rowOff>61953</xdr:rowOff>
    </xdr:from>
    <xdr:to>
      <xdr:col>8</xdr:col>
      <xdr:colOff>1400175</xdr:colOff>
      <xdr:row>22</xdr:row>
      <xdr:rowOff>860862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58995" y="18720833"/>
          <a:ext cx="798909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23</xdr:row>
      <xdr:rowOff>98385</xdr:rowOff>
    </xdr:from>
    <xdr:to>
      <xdr:col>8</xdr:col>
      <xdr:colOff>1400175</xdr:colOff>
      <xdr:row>23</xdr:row>
      <xdr:rowOff>775851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19717" y="19582368"/>
          <a:ext cx="677466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24</xdr:row>
      <xdr:rowOff>56238</xdr:rowOff>
    </xdr:from>
    <xdr:to>
      <xdr:col>8</xdr:col>
      <xdr:colOff>1400175</xdr:colOff>
      <xdr:row>24</xdr:row>
      <xdr:rowOff>874197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49470" y="20496293"/>
          <a:ext cx="817959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25</xdr:row>
      <xdr:rowOff>113743</xdr:rowOff>
    </xdr:from>
    <xdr:to>
      <xdr:col>8</xdr:col>
      <xdr:colOff>1400175</xdr:colOff>
      <xdr:row>25</xdr:row>
      <xdr:rowOff>740012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45315" y="21343778"/>
          <a:ext cx="626269" cy="1333500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26</xdr:row>
      <xdr:rowOff>132320</xdr:rowOff>
    </xdr:from>
    <xdr:to>
      <xdr:col>8</xdr:col>
      <xdr:colOff>1104900</xdr:colOff>
      <xdr:row>26</xdr:row>
      <xdr:rowOff>733466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57865" y="22430880"/>
          <a:ext cx="601146" cy="942975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27</xdr:row>
      <xdr:rowOff>94098</xdr:rowOff>
    </xdr:from>
    <xdr:to>
      <xdr:col>8</xdr:col>
      <xdr:colOff>1400175</xdr:colOff>
      <xdr:row>27</xdr:row>
      <xdr:rowOff>785851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12573" y="23128525"/>
          <a:ext cx="691753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28</xdr:row>
      <xdr:rowOff>53737</xdr:rowOff>
    </xdr:from>
    <xdr:to>
      <xdr:col>8</xdr:col>
      <xdr:colOff>1400175</xdr:colOff>
      <xdr:row>28</xdr:row>
      <xdr:rowOff>880031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45303" y="24041259"/>
          <a:ext cx="826294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29</xdr:row>
      <xdr:rowOff>64453</xdr:rowOff>
    </xdr:from>
    <xdr:to>
      <xdr:col>8</xdr:col>
      <xdr:colOff>1400175</xdr:colOff>
      <xdr:row>29</xdr:row>
      <xdr:rowOff>855028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63162" y="24919941"/>
          <a:ext cx="790575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30</xdr:row>
      <xdr:rowOff>67310</xdr:rowOff>
    </xdr:from>
    <xdr:to>
      <xdr:col>8</xdr:col>
      <xdr:colOff>1400175</xdr:colOff>
      <xdr:row>30</xdr:row>
      <xdr:rowOff>848360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67925" y="25803860"/>
          <a:ext cx="781050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31</xdr:row>
      <xdr:rowOff>101600</xdr:rowOff>
    </xdr:from>
    <xdr:to>
      <xdr:col>8</xdr:col>
      <xdr:colOff>1400175</xdr:colOff>
      <xdr:row>31</xdr:row>
      <xdr:rowOff>768350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25075" y="26666825"/>
          <a:ext cx="666750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32</xdr:row>
      <xdr:rowOff>99100</xdr:rowOff>
    </xdr:from>
    <xdr:to>
      <xdr:col>8</xdr:col>
      <xdr:colOff>1400175</xdr:colOff>
      <xdr:row>32</xdr:row>
      <xdr:rowOff>774184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20908" y="27554317"/>
          <a:ext cx="675084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33</xdr:row>
      <xdr:rowOff>175180</xdr:rowOff>
    </xdr:from>
    <xdr:to>
      <xdr:col>8</xdr:col>
      <xdr:colOff>1400175</xdr:colOff>
      <xdr:row>33</xdr:row>
      <xdr:rowOff>596661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47709" y="28389421"/>
          <a:ext cx="421481" cy="1333500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34</xdr:row>
      <xdr:rowOff>97076</xdr:rowOff>
    </xdr:from>
    <xdr:to>
      <xdr:col>8</xdr:col>
      <xdr:colOff>1171575</xdr:colOff>
      <xdr:row>34</xdr:row>
      <xdr:rowOff>763537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34732" y="29457744"/>
          <a:ext cx="666461" cy="1057275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35</xdr:row>
      <xdr:rowOff>201255</xdr:rowOff>
    </xdr:from>
    <xdr:to>
      <xdr:col>8</xdr:col>
      <xdr:colOff>1400175</xdr:colOff>
      <xdr:row>35</xdr:row>
      <xdr:rowOff>535821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91167" y="30143688"/>
          <a:ext cx="334566" cy="1333500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36</xdr:row>
      <xdr:rowOff>99100</xdr:rowOff>
    </xdr:from>
    <xdr:to>
      <xdr:col>8</xdr:col>
      <xdr:colOff>1238250</xdr:colOff>
      <xdr:row>36</xdr:row>
      <xdr:rowOff>748382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076659" y="31189491"/>
          <a:ext cx="649282" cy="112395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37</xdr:row>
      <xdr:rowOff>201255</xdr:rowOff>
    </xdr:from>
    <xdr:to>
      <xdr:col>8</xdr:col>
      <xdr:colOff>1400175</xdr:colOff>
      <xdr:row>37</xdr:row>
      <xdr:rowOff>535821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91167" y="31915338"/>
          <a:ext cx="334566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38</xdr:row>
      <xdr:rowOff>190540</xdr:rowOff>
    </xdr:from>
    <xdr:to>
      <xdr:col>8</xdr:col>
      <xdr:colOff>1400175</xdr:colOff>
      <xdr:row>38</xdr:row>
      <xdr:rowOff>560824</xdr:rowOff>
    </xdr:to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73308" y="32808307"/>
          <a:ext cx="370284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39</xdr:row>
      <xdr:rowOff>196968</xdr:rowOff>
    </xdr:from>
    <xdr:to>
      <xdr:col>8</xdr:col>
      <xdr:colOff>1400175</xdr:colOff>
      <xdr:row>39</xdr:row>
      <xdr:rowOff>545821</xdr:rowOff>
    </xdr:to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84023" y="33689845"/>
          <a:ext cx="348853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40</xdr:row>
      <xdr:rowOff>195225</xdr:rowOff>
    </xdr:from>
    <xdr:to>
      <xdr:col>8</xdr:col>
      <xdr:colOff>1400175</xdr:colOff>
      <xdr:row>40</xdr:row>
      <xdr:rowOff>549894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81115" y="34576835"/>
          <a:ext cx="354669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41</xdr:row>
      <xdr:rowOff>196107</xdr:rowOff>
    </xdr:from>
    <xdr:to>
      <xdr:col>8</xdr:col>
      <xdr:colOff>1400175</xdr:colOff>
      <xdr:row>41</xdr:row>
      <xdr:rowOff>547830</xdr:rowOff>
    </xdr:to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82588" y="35462069"/>
          <a:ext cx="351723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42</xdr:row>
      <xdr:rowOff>173395</xdr:rowOff>
    </xdr:from>
    <xdr:to>
      <xdr:col>8</xdr:col>
      <xdr:colOff>1400175</xdr:colOff>
      <xdr:row>42</xdr:row>
      <xdr:rowOff>600829</xdr:rowOff>
    </xdr:to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44733" y="36363037"/>
          <a:ext cx="427434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43</xdr:row>
      <xdr:rowOff>168275</xdr:rowOff>
    </xdr:from>
    <xdr:to>
      <xdr:col>8</xdr:col>
      <xdr:colOff>1400175</xdr:colOff>
      <xdr:row>43</xdr:row>
      <xdr:rowOff>612775</xdr:rowOff>
    </xdr:to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36200" y="37252275"/>
          <a:ext cx="444500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44</xdr:row>
      <xdr:rowOff>100172</xdr:rowOff>
    </xdr:from>
    <xdr:to>
      <xdr:col>8</xdr:col>
      <xdr:colOff>1400175</xdr:colOff>
      <xdr:row>44</xdr:row>
      <xdr:rowOff>771684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22694" y="38183503"/>
          <a:ext cx="671512" cy="13335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45</xdr:row>
      <xdr:rowOff>201255</xdr:rowOff>
    </xdr:from>
    <xdr:to>
      <xdr:col>8</xdr:col>
      <xdr:colOff>1400175</xdr:colOff>
      <xdr:row>45</xdr:row>
      <xdr:rowOff>535821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91167" y="39001938"/>
          <a:ext cx="334566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activeCell="G6" sqref="G6"/>
    </sheetView>
  </sheetViews>
  <sheetFormatPr defaultRowHeight="15" x14ac:dyDescent="0.3"/>
  <cols>
    <col min="1" max="1" width="9.28515625" style="13" bestFit="1" customWidth="1"/>
    <col min="2" max="2" width="9.28515625" style="13" customWidth="1"/>
    <col min="3" max="3" width="10" style="13" customWidth="1"/>
    <col min="4" max="4" width="11.7109375" style="13" customWidth="1"/>
    <col min="5" max="5" width="10.42578125" style="13" customWidth="1"/>
    <col min="6" max="6" width="12.7109375" style="13" customWidth="1"/>
    <col min="7" max="7" width="67.7109375" style="13" customWidth="1"/>
    <col min="8" max="8" width="15.5703125" style="13" customWidth="1"/>
    <col min="9" max="9" width="22.85546875" style="13" customWidth="1"/>
    <col min="10" max="10" width="7.7109375" style="13" customWidth="1"/>
    <col min="11" max="11" width="15.5703125" style="13" customWidth="1"/>
    <col min="12" max="12" width="9.140625" style="15"/>
    <col min="13" max="13" width="14.42578125" style="13" customWidth="1"/>
    <col min="14" max="14" width="13.5703125" style="13" customWidth="1"/>
    <col min="15" max="16" width="9.28515625" style="13" bestFit="1" customWidth="1"/>
    <col min="17" max="17" width="56.85546875" style="13" customWidth="1"/>
    <col min="18" max="16384" width="9.140625" style="13"/>
  </cols>
  <sheetData>
    <row r="1" spans="1:17" s="5" customFormat="1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4" t="s">
        <v>13</v>
      </c>
      <c r="O1" s="1" t="s">
        <v>14</v>
      </c>
      <c r="P1" s="1" t="s">
        <v>15</v>
      </c>
      <c r="Q1" s="1" t="s">
        <v>16</v>
      </c>
    </row>
    <row r="2" spans="1:17" ht="69.95" customHeight="1" x14ac:dyDescent="0.3">
      <c r="A2" s="6">
        <v>75936</v>
      </c>
      <c r="B2" s="6">
        <v>105321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7"/>
      <c r="J2" s="8" t="s">
        <v>23</v>
      </c>
      <c r="K2" s="9">
        <v>1934</v>
      </c>
      <c r="L2" s="10">
        <v>0.13</v>
      </c>
      <c r="M2" s="11">
        <f t="shared" ref="M2:M46" si="0">K2*(1-L2)</f>
        <v>1682.58</v>
      </c>
      <c r="N2" s="12"/>
      <c r="O2" s="6">
        <v>152</v>
      </c>
      <c r="P2" s="6">
        <v>4193</v>
      </c>
      <c r="Q2" s="6" t="s">
        <v>24</v>
      </c>
    </row>
    <row r="3" spans="1:17" ht="69.95" customHeight="1" x14ac:dyDescent="0.3">
      <c r="A3" s="6">
        <v>76829</v>
      </c>
      <c r="B3" s="6">
        <v>114429</v>
      </c>
      <c r="C3" s="6" t="s">
        <v>17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7"/>
      <c r="J3" s="8" t="s">
        <v>23</v>
      </c>
      <c r="K3" s="9">
        <v>7318</v>
      </c>
      <c r="L3" s="10">
        <v>0.13</v>
      </c>
      <c r="M3" s="11">
        <f t="shared" si="0"/>
        <v>6366.66</v>
      </c>
      <c r="N3" s="12"/>
      <c r="O3" s="6">
        <v>410</v>
      </c>
      <c r="P3" s="6">
        <v>219</v>
      </c>
      <c r="Q3" s="6" t="s">
        <v>30</v>
      </c>
    </row>
    <row r="4" spans="1:17" ht="69.95" customHeight="1" x14ac:dyDescent="0.3">
      <c r="A4" s="6">
        <v>82680</v>
      </c>
      <c r="B4" s="6">
        <v>114430</v>
      </c>
      <c r="C4" s="6" t="s">
        <v>17</v>
      </c>
      <c r="D4" s="6" t="s">
        <v>25</v>
      </c>
      <c r="E4" s="6" t="s">
        <v>26</v>
      </c>
      <c r="F4" s="6" t="s">
        <v>31</v>
      </c>
      <c r="G4" s="6" t="s">
        <v>32</v>
      </c>
      <c r="H4" s="6" t="s">
        <v>33</v>
      </c>
      <c r="I4" s="7"/>
      <c r="J4" s="8" t="s">
        <v>23</v>
      </c>
      <c r="K4" s="9">
        <v>7826</v>
      </c>
      <c r="L4" s="10">
        <v>0.13</v>
      </c>
      <c r="M4" s="11">
        <f t="shared" si="0"/>
        <v>6808.62</v>
      </c>
      <c r="N4" s="12"/>
      <c r="O4" s="6">
        <v>0</v>
      </c>
      <c r="P4" s="6">
        <v>218</v>
      </c>
      <c r="Q4" s="6" t="s">
        <v>34</v>
      </c>
    </row>
    <row r="5" spans="1:17" ht="69.95" customHeight="1" x14ac:dyDescent="0.3">
      <c r="A5" s="6">
        <v>76832</v>
      </c>
      <c r="B5" s="6">
        <v>114445</v>
      </c>
      <c r="C5" s="6" t="s">
        <v>17</v>
      </c>
      <c r="D5" s="6" t="s">
        <v>25</v>
      </c>
      <c r="E5" s="6" t="s">
        <v>26</v>
      </c>
      <c r="F5" s="6" t="s">
        <v>27</v>
      </c>
      <c r="G5" s="6" t="s">
        <v>35</v>
      </c>
      <c r="H5" s="6" t="s">
        <v>33</v>
      </c>
      <c r="I5" s="7"/>
      <c r="J5" s="8" t="s">
        <v>23</v>
      </c>
      <c r="K5" s="9">
        <v>8223</v>
      </c>
      <c r="L5" s="10">
        <v>0.13</v>
      </c>
      <c r="M5" s="11">
        <f t="shared" si="0"/>
        <v>7154.01</v>
      </c>
      <c r="N5" s="12"/>
      <c r="O5" s="6">
        <v>262</v>
      </c>
      <c r="P5" s="6">
        <v>0</v>
      </c>
      <c r="Q5" s="6" t="s">
        <v>36</v>
      </c>
    </row>
    <row r="6" spans="1:17" ht="69.95" customHeight="1" x14ac:dyDescent="0.3">
      <c r="A6" s="6">
        <v>86866</v>
      </c>
      <c r="B6" s="6">
        <v>115012</v>
      </c>
      <c r="C6" s="6" t="s">
        <v>17</v>
      </c>
      <c r="D6" s="6" t="s">
        <v>25</v>
      </c>
      <c r="E6" s="6" t="s">
        <v>26</v>
      </c>
      <c r="F6" s="6" t="s">
        <v>31</v>
      </c>
      <c r="G6" s="6" t="s">
        <v>37</v>
      </c>
      <c r="H6" s="6" t="s">
        <v>33</v>
      </c>
      <c r="I6" s="7"/>
      <c r="J6" s="8" t="s">
        <v>23</v>
      </c>
      <c r="K6" s="9">
        <v>8443</v>
      </c>
      <c r="L6" s="10">
        <v>0.13</v>
      </c>
      <c r="M6" s="11">
        <f t="shared" si="0"/>
        <v>7345.41</v>
      </c>
      <c r="N6" s="12"/>
      <c r="O6" s="6">
        <v>0</v>
      </c>
      <c r="P6" s="6">
        <v>68</v>
      </c>
      <c r="Q6" s="6" t="s">
        <v>34</v>
      </c>
    </row>
    <row r="7" spans="1:17" ht="69.95" customHeight="1" x14ac:dyDescent="0.3">
      <c r="A7" s="6">
        <v>82825</v>
      </c>
      <c r="B7" s="6">
        <v>114437</v>
      </c>
      <c r="C7" s="6" t="s">
        <v>17</v>
      </c>
      <c r="D7" s="6" t="s">
        <v>25</v>
      </c>
      <c r="E7" s="6" t="s">
        <v>26</v>
      </c>
      <c r="F7" s="6" t="s">
        <v>27</v>
      </c>
      <c r="G7" s="6" t="s">
        <v>38</v>
      </c>
      <c r="H7" s="6" t="s">
        <v>39</v>
      </c>
      <c r="I7" s="7"/>
      <c r="J7" s="8" t="s">
        <v>23</v>
      </c>
      <c r="K7" s="9">
        <v>9450</v>
      </c>
      <c r="L7" s="10">
        <v>0.13</v>
      </c>
      <c r="M7" s="11">
        <f t="shared" si="0"/>
        <v>8221.5</v>
      </c>
      <c r="N7" s="12"/>
      <c r="O7" s="6">
        <v>103</v>
      </c>
      <c r="P7" s="6">
        <v>111</v>
      </c>
      <c r="Q7" s="6" t="s">
        <v>40</v>
      </c>
    </row>
    <row r="8" spans="1:17" ht="69.95" customHeight="1" x14ac:dyDescent="0.3">
      <c r="A8" s="6">
        <v>77371</v>
      </c>
      <c r="B8" s="6">
        <v>114727</v>
      </c>
      <c r="C8" s="6" t="s">
        <v>17</v>
      </c>
      <c r="D8" s="6" t="s">
        <v>25</v>
      </c>
      <c r="E8" s="6" t="s">
        <v>26</v>
      </c>
      <c r="F8" s="6" t="s">
        <v>27</v>
      </c>
      <c r="G8" s="6" t="s">
        <v>41</v>
      </c>
      <c r="H8" s="6" t="s">
        <v>42</v>
      </c>
      <c r="I8" s="7"/>
      <c r="J8" s="8" t="s">
        <v>23</v>
      </c>
      <c r="K8" s="9">
        <v>14891</v>
      </c>
      <c r="L8" s="10">
        <v>0.13</v>
      </c>
      <c r="M8" s="11">
        <f t="shared" si="0"/>
        <v>12955.17</v>
      </c>
      <c r="N8" s="12"/>
      <c r="O8" s="6">
        <v>8</v>
      </c>
      <c r="P8" s="6">
        <v>80</v>
      </c>
      <c r="Q8" s="6" t="s">
        <v>43</v>
      </c>
    </row>
    <row r="9" spans="1:17" ht="69.95" customHeight="1" x14ac:dyDescent="0.3">
      <c r="A9" s="6">
        <v>77370</v>
      </c>
      <c r="B9" s="6">
        <v>114435</v>
      </c>
      <c r="C9" s="6" t="s">
        <v>17</v>
      </c>
      <c r="D9" s="6" t="s">
        <v>25</v>
      </c>
      <c r="E9" s="6" t="s">
        <v>26</v>
      </c>
      <c r="F9" s="6" t="s">
        <v>27</v>
      </c>
      <c r="G9" s="6" t="s">
        <v>44</v>
      </c>
      <c r="H9" s="6" t="s">
        <v>42</v>
      </c>
      <c r="I9" s="7"/>
      <c r="J9" s="8" t="s">
        <v>23</v>
      </c>
      <c r="K9" s="9">
        <v>15014</v>
      </c>
      <c r="L9" s="10">
        <v>0.13</v>
      </c>
      <c r="M9" s="11">
        <f t="shared" si="0"/>
        <v>13062.18</v>
      </c>
      <c r="N9" s="12"/>
      <c r="O9" s="6">
        <v>18</v>
      </c>
      <c r="P9" s="6">
        <v>166</v>
      </c>
      <c r="Q9" s="6" t="s">
        <v>43</v>
      </c>
    </row>
    <row r="10" spans="1:17" ht="69.95" customHeight="1" x14ac:dyDescent="0.3">
      <c r="A10" s="6">
        <v>77176</v>
      </c>
      <c r="B10" s="6">
        <v>114652</v>
      </c>
      <c r="C10" s="6" t="s">
        <v>17</v>
      </c>
      <c r="D10" s="6" t="s">
        <v>25</v>
      </c>
      <c r="E10" s="6" t="s">
        <v>26</v>
      </c>
      <c r="F10" s="6" t="s">
        <v>27</v>
      </c>
      <c r="G10" s="6" t="s">
        <v>45</v>
      </c>
      <c r="H10" s="6" t="s">
        <v>46</v>
      </c>
      <c r="I10" s="7"/>
      <c r="J10" s="8" t="s">
        <v>23</v>
      </c>
      <c r="K10" s="9">
        <v>16789</v>
      </c>
      <c r="L10" s="10">
        <v>0.13</v>
      </c>
      <c r="M10" s="11">
        <f t="shared" si="0"/>
        <v>14606.43</v>
      </c>
      <c r="N10" s="12"/>
      <c r="O10" s="6">
        <v>47</v>
      </c>
      <c r="P10" s="6">
        <v>0</v>
      </c>
      <c r="Q10" s="6" t="s">
        <v>47</v>
      </c>
    </row>
    <row r="11" spans="1:17" ht="69.95" customHeight="1" x14ac:dyDescent="0.3">
      <c r="A11" s="6">
        <v>85848</v>
      </c>
      <c r="B11" s="6">
        <v>114436</v>
      </c>
      <c r="C11" s="6" t="s">
        <v>17</v>
      </c>
      <c r="D11" s="6" t="s">
        <v>25</v>
      </c>
      <c r="E11" s="6" t="s">
        <v>26</v>
      </c>
      <c r="F11" s="6" t="s">
        <v>31</v>
      </c>
      <c r="G11" s="6" t="s">
        <v>48</v>
      </c>
      <c r="H11" s="6" t="s">
        <v>46</v>
      </c>
      <c r="I11" s="7"/>
      <c r="J11" s="8" t="s">
        <v>23</v>
      </c>
      <c r="K11" s="9">
        <v>17189</v>
      </c>
      <c r="L11" s="10">
        <v>0.13</v>
      </c>
      <c r="M11" s="11">
        <f t="shared" si="0"/>
        <v>14954.43</v>
      </c>
      <c r="N11" s="12"/>
      <c r="O11" s="6">
        <v>3</v>
      </c>
      <c r="P11" s="6">
        <v>0</v>
      </c>
      <c r="Q11" s="6" t="s">
        <v>47</v>
      </c>
    </row>
    <row r="12" spans="1:17" ht="69.95" customHeight="1" x14ac:dyDescent="0.3">
      <c r="A12" s="6">
        <v>84880</v>
      </c>
      <c r="B12" s="6">
        <v>111603</v>
      </c>
      <c r="C12" s="6" t="s">
        <v>17</v>
      </c>
      <c r="D12" s="6" t="s">
        <v>18</v>
      </c>
      <c r="E12" s="6" t="s">
        <v>49</v>
      </c>
      <c r="F12" s="6" t="s">
        <v>50</v>
      </c>
      <c r="G12" s="6" t="s">
        <v>51</v>
      </c>
      <c r="H12" s="6" t="s">
        <v>52</v>
      </c>
      <c r="I12" s="7"/>
      <c r="J12" s="8" t="s">
        <v>53</v>
      </c>
      <c r="K12" s="9">
        <v>295</v>
      </c>
      <c r="L12" s="10">
        <v>0.13</v>
      </c>
      <c r="M12" s="11">
        <f t="shared" si="0"/>
        <v>256.64999999999998</v>
      </c>
      <c r="N12" s="12"/>
      <c r="O12" s="6">
        <v>1146</v>
      </c>
      <c r="P12" s="6">
        <v>10</v>
      </c>
      <c r="Q12" s="6" t="s">
        <v>54</v>
      </c>
    </row>
    <row r="13" spans="1:17" ht="69.95" customHeight="1" x14ac:dyDescent="0.3">
      <c r="A13" s="6">
        <v>72361</v>
      </c>
      <c r="B13" s="6">
        <v>114450</v>
      </c>
      <c r="C13" s="6" t="s">
        <v>17</v>
      </c>
      <c r="D13" s="6" t="s">
        <v>18</v>
      </c>
      <c r="E13" s="6" t="s">
        <v>49</v>
      </c>
      <c r="F13" s="6" t="s">
        <v>50</v>
      </c>
      <c r="G13" s="6" t="s">
        <v>55</v>
      </c>
      <c r="H13" s="6" t="s">
        <v>56</v>
      </c>
      <c r="I13" s="7"/>
      <c r="J13" s="8" t="s">
        <v>57</v>
      </c>
      <c r="K13" s="9">
        <v>2708</v>
      </c>
      <c r="L13" s="10">
        <v>0.13</v>
      </c>
      <c r="M13" s="11">
        <f t="shared" si="0"/>
        <v>2355.96</v>
      </c>
      <c r="N13" s="12"/>
      <c r="O13" s="6">
        <v>204</v>
      </c>
      <c r="P13" s="6">
        <v>914</v>
      </c>
      <c r="Q13" s="6" t="s">
        <v>54</v>
      </c>
    </row>
    <row r="14" spans="1:17" ht="69.95" customHeight="1" x14ac:dyDescent="0.3">
      <c r="A14" s="6">
        <v>79423</v>
      </c>
      <c r="B14" s="6">
        <v>104387</v>
      </c>
      <c r="C14" s="6" t="s">
        <v>17</v>
      </c>
      <c r="D14" s="6" t="s">
        <v>58</v>
      </c>
      <c r="E14" s="6" t="s">
        <v>49</v>
      </c>
      <c r="F14" s="6" t="s">
        <v>59</v>
      </c>
      <c r="G14" s="6" t="s">
        <v>60</v>
      </c>
      <c r="H14" s="6" t="s">
        <v>61</v>
      </c>
      <c r="I14" s="7"/>
      <c r="J14" s="8" t="s">
        <v>57</v>
      </c>
      <c r="K14" s="9">
        <v>5718</v>
      </c>
      <c r="L14" s="10">
        <v>0.13</v>
      </c>
      <c r="M14" s="11">
        <f t="shared" si="0"/>
        <v>4974.66</v>
      </c>
      <c r="N14" s="12"/>
      <c r="O14" s="6">
        <v>12</v>
      </c>
      <c r="P14" s="6">
        <v>880</v>
      </c>
      <c r="Q14" s="6" t="s">
        <v>62</v>
      </c>
    </row>
    <row r="15" spans="1:17" ht="69.95" customHeight="1" x14ac:dyDescent="0.3">
      <c r="A15" s="6">
        <v>96990</v>
      </c>
      <c r="B15" s="6">
        <v>115039</v>
      </c>
      <c r="C15" s="6" t="s">
        <v>17</v>
      </c>
      <c r="D15" s="6" t="s">
        <v>58</v>
      </c>
      <c r="E15" s="6" t="s">
        <v>49</v>
      </c>
      <c r="F15" s="6" t="s">
        <v>59</v>
      </c>
      <c r="G15" s="6" t="s">
        <v>63</v>
      </c>
      <c r="H15" s="6" t="s">
        <v>61</v>
      </c>
      <c r="I15" s="7"/>
      <c r="J15" s="8" t="s">
        <v>57</v>
      </c>
      <c r="K15" s="9">
        <v>6109</v>
      </c>
      <c r="L15" s="10">
        <v>0.13</v>
      </c>
      <c r="M15" s="11">
        <f t="shared" si="0"/>
        <v>5314.83</v>
      </c>
      <c r="N15" s="12"/>
      <c r="O15" s="6">
        <v>0</v>
      </c>
      <c r="P15" s="6">
        <v>53</v>
      </c>
      <c r="Q15" s="6" t="s">
        <v>64</v>
      </c>
    </row>
    <row r="16" spans="1:17" ht="69.95" customHeight="1" x14ac:dyDescent="0.3">
      <c r="A16" s="6">
        <v>86546</v>
      </c>
      <c r="B16" s="6">
        <v>103007</v>
      </c>
      <c r="C16" s="6" t="s">
        <v>17</v>
      </c>
      <c r="D16" s="6" t="s">
        <v>65</v>
      </c>
      <c r="E16" s="6" t="s">
        <v>49</v>
      </c>
      <c r="F16" s="6" t="s">
        <v>66</v>
      </c>
      <c r="G16" s="6" t="s">
        <v>67</v>
      </c>
      <c r="H16" s="6" t="s">
        <v>68</v>
      </c>
      <c r="I16" s="7"/>
      <c r="J16" s="8" t="s">
        <v>57</v>
      </c>
      <c r="K16" s="9">
        <v>10479</v>
      </c>
      <c r="L16" s="10">
        <v>0.13</v>
      </c>
      <c r="M16" s="11">
        <f t="shared" si="0"/>
        <v>9116.73</v>
      </c>
      <c r="N16" s="12"/>
      <c r="O16" s="6">
        <v>3</v>
      </c>
      <c r="P16" s="6">
        <v>0</v>
      </c>
      <c r="Q16" s="6" t="s">
        <v>69</v>
      </c>
    </row>
    <row r="17" spans="1:17" ht="69.95" customHeight="1" x14ac:dyDescent="0.3">
      <c r="A17" s="6">
        <v>78062</v>
      </c>
      <c r="B17" s="6">
        <v>114441</v>
      </c>
      <c r="C17" s="6" t="s">
        <v>17</v>
      </c>
      <c r="D17" s="6" t="s">
        <v>70</v>
      </c>
      <c r="E17" s="6" t="s">
        <v>71</v>
      </c>
      <c r="F17" s="6" t="s">
        <v>72</v>
      </c>
      <c r="G17" s="6" t="s">
        <v>73</v>
      </c>
      <c r="H17" s="6" t="s">
        <v>74</v>
      </c>
      <c r="I17" s="7"/>
      <c r="J17" s="8" t="s">
        <v>57</v>
      </c>
      <c r="K17" s="9">
        <v>2732</v>
      </c>
      <c r="L17" s="10">
        <v>0.13</v>
      </c>
      <c r="M17" s="11">
        <f t="shared" si="0"/>
        <v>2376.84</v>
      </c>
      <c r="N17" s="12"/>
      <c r="O17" s="6">
        <v>120</v>
      </c>
      <c r="P17" s="6">
        <v>19</v>
      </c>
      <c r="Q17" s="6" t="s">
        <v>75</v>
      </c>
    </row>
    <row r="18" spans="1:17" ht="69.95" customHeight="1" x14ac:dyDescent="0.3">
      <c r="A18" s="6">
        <v>78287</v>
      </c>
      <c r="B18" s="6">
        <v>114440</v>
      </c>
      <c r="C18" s="6" t="s">
        <v>17</v>
      </c>
      <c r="D18" s="6" t="s">
        <v>65</v>
      </c>
      <c r="E18" s="6" t="s">
        <v>71</v>
      </c>
      <c r="F18" s="6" t="s">
        <v>76</v>
      </c>
      <c r="G18" s="6" t="s">
        <v>77</v>
      </c>
      <c r="H18" s="6" t="s">
        <v>78</v>
      </c>
      <c r="I18" s="7"/>
      <c r="J18" s="8" t="s">
        <v>23</v>
      </c>
      <c r="K18" s="9">
        <v>3905</v>
      </c>
      <c r="L18" s="10">
        <v>0.13</v>
      </c>
      <c r="M18" s="11">
        <f t="shared" si="0"/>
        <v>3397.35</v>
      </c>
      <c r="N18" s="12"/>
      <c r="O18" s="6">
        <v>126</v>
      </c>
      <c r="P18" s="6">
        <v>257</v>
      </c>
      <c r="Q18" s="6" t="s">
        <v>79</v>
      </c>
    </row>
    <row r="19" spans="1:17" ht="69.95" customHeight="1" x14ac:dyDescent="0.3">
      <c r="A19" s="6">
        <v>86936</v>
      </c>
      <c r="B19" s="6">
        <v>108874</v>
      </c>
      <c r="C19" s="6" t="s">
        <v>17</v>
      </c>
      <c r="D19" s="6" t="s">
        <v>65</v>
      </c>
      <c r="E19" s="6" t="s">
        <v>71</v>
      </c>
      <c r="F19" s="6" t="s">
        <v>76</v>
      </c>
      <c r="G19" s="6" t="s">
        <v>80</v>
      </c>
      <c r="H19" s="6" t="s">
        <v>81</v>
      </c>
      <c r="I19" s="7"/>
      <c r="J19" s="8" t="s">
        <v>23</v>
      </c>
      <c r="K19" s="9">
        <v>7190</v>
      </c>
      <c r="L19" s="10">
        <v>0.13</v>
      </c>
      <c r="M19" s="11">
        <f t="shared" si="0"/>
        <v>6255.3</v>
      </c>
      <c r="N19" s="12"/>
      <c r="O19" s="6">
        <v>10</v>
      </c>
      <c r="P19" s="6">
        <v>0</v>
      </c>
      <c r="Q19" s="6" t="s">
        <v>82</v>
      </c>
    </row>
    <row r="20" spans="1:17" ht="69.95" customHeight="1" x14ac:dyDescent="0.3">
      <c r="A20" s="6">
        <v>68851</v>
      </c>
      <c r="B20" s="6">
        <v>82277</v>
      </c>
      <c r="C20" s="6" t="s">
        <v>17</v>
      </c>
      <c r="D20" s="6" t="s">
        <v>65</v>
      </c>
      <c r="E20" s="6" t="s">
        <v>71</v>
      </c>
      <c r="F20" s="6" t="s">
        <v>83</v>
      </c>
      <c r="G20" s="6" t="s">
        <v>84</v>
      </c>
      <c r="H20" s="6" t="s">
        <v>64</v>
      </c>
      <c r="I20" s="7"/>
      <c r="J20" s="8" t="s">
        <v>85</v>
      </c>
      <c r="K20" s="9">
        <v>1559</v>
      </c>
      <c r="L20" s="10">
        <v>0.13</v>
      </c>
      <c r="M20" s="11">
        <f t="shared" si="0"/>
        <v>1356.33</v>
      </c>
      <c r="N20" s="12"/>
      <c r="O20" s="6">
        <v>1</v>
      </c>
      <c r="P20" s="6">
        <v>843</v>
      </c>
      <c r="Q20" s="6" t="s">
        <v>86</v>
      </c>
    </row>
    <row r="21" spans="1:17" ht="69.95" customHeight="1" x14ac:dyDescent="0.3">
      <c r="A21" s="6">
        <v>72054</v>
      </c>
      <c r="B21" s="6">
        <v>86845</v>
      </c>
      <c r="C21" s="6" t="s">
        <v>17</v>
      </c>
      <c r="D21" s="6" t="s">
        <v>65</v>
      </c>
      <c r="E21" s="6" t="s">
        <v>71</v>
      </c>
      <c r="F21" s="6" t="s">
        <v>87</v>
      </c>
      <c r="G21" s="6" t="s">
        <v>88</v>
      </c>
      <c r="H21" s="6" t="s">
        <v>89</v>
      </c>
      <c r="I21" s="7"/>
      <c r="J21" s="8" t="s">
        <v>85</v>
      </c>
      <c r="K21" s="9">
        <v>6029</v>
      </c>
      <c r="L21" s="10">
        <v>0.13</v>
      </c>
      <c r="M21" s="11">
        <f t="shared" si="0"/>
        <v>5245.23</v>
      </c>
      <c r="N21" s="12"/>
      <c r="O21" s="6">
        <v>31</v>
      </c>
      <c r="P21" s="6">
        <v>0</v>
      </c>
      <c r="Q21" s="6" t="s">
        <v>90</v>
      </c>
    </row>
    <row r="22" spans="1:17" ht="69.95" customHeight="1" x14ac:dyDescent="0.3">
      <c r="A22" s="6">
        <v>77175</v>
      </c>
      <c r="B22" s="6">
        <v>108698</v>
      </c>
      <c r="C22" s="6" t="s">
        <v>17</v>
      </c>
      <c r="D22" s="6" t="s">
        <v>65</v>
      </c>
      <c r="E22" s="6" t="s">
        <v>91</v>
      </c>
      <c r="F22" s="6" t="s">
        <v>92</v>
      </c>
      <c r="G22" s="6" t="s">
        <v>93</v>
      </c>
      <c r="H22" s="6" t="s">
        <v>94</v>
      </c>
      <c r="I22" s="7"/>
      <c r="J22" s="8" t="s">
        <v>57</v>
      </c>
      <c r="K22" s="9">
        <v>4250</v>
      </c>
      <c r="L22" s="10">
        <v>0.13</v>
      </c>
      <c r="M22" s="11">
        <f t="shared" si="0"/>
        <v>3697.5</v>
      </c>
      <c r="N22" s="12"/>
      <c r="O22" s="6">
        <v>0</v>
      </c>
      <c r="P22" s="6">
        <v>413</v>
      </c>
      <c r="Q22" s="6" t="s">
        <v>95</v>
      </c>
    </row>
    <row r="23" spans="1:17" ht="69.95" customHeight="1" x14ac:dyDescent="0.3">
      <c r="A23" s="6">
        <v>71843</v>
      </c>
      <c r="B23" s="6">
        <v>114448</v>
      </c>
      <c r="C23" s="6" t="s">
        <v>17</v>
      </c>
      <c r="D23" s="6" t="s">
        <v>65</v>
      </c>
      <c r="E23" s="6" t="s">
        <v>91</v>
      </c>
      <c r="F23" s="6" t="s">
        <v>96</v>
      </c>
      <c r="G23" s="6" t="s">
        <v>97</v>
      </c>
      <c r="H23" s="6" t="s">
        <v>98</v>
      </c>
      <c r="I23" s="7"/>
      <c r="J23" s="8" t="s">
        <v>57</v>
      </c>
      <c r="K23" s="9">
        <v>4369</v>
      </c>
      <c r="L23" s="10">
        <v>0.13</v>
      </c>
      <c r="M23" s="11">
        <f t="shared" si="0"/>
        <v>3801.03</v>
      </c>
      <c r="N23" s="12"/>
      <c r="O23" s="6">
        <v>15</v>
      </c>
      <c r="P23" s="6">
        <v>95</v>
      </c>
      <c r="Q23" s="6" t="s">
        <v>99</v>
      </c>
    </row>
    <row r="24" spans="1:17" ht="69.95" customHeight="1" x14ac:dyDescent="0.3">
      <c r="A24" s="6">
        <v>87008</v>
      </c>
      <c r="B24" s="6">
        <v>103577</v>
      </c>
      <c r="C24" s="6" t="s">
        <v>17</v>
      </c>
      <c r="D24" s="6" t="s">
        <v>65</v>
      </c>
      <c r="E24" s="6" t="s">
        <v>91</v>
      </c>
      <c r="F24" s="6" t="s">
        <v>100</v>
      </c>
      <c r="G24" s="6" t="s">
        <v>101</v>
      </c>
      <c r="H24" s="6" t="s">
        <v>102</v>
      </c>
      <c r="I24" s="7"/>
      <c r="J24" s="8" t="s">
        <v>57</v>
      </c>
      <c r="K24" s="9">
        <v>8244</v>
      </c>
      <c r="L24" s="10">
        <v>0.13</v>
      </c>
      <c r="M24" s="11">
        <f t="shared" si="0"/>
        <v>7172.28</v>
      </c>
      <c r="N24" s="12"/>
      <c r="O24" s="6">
        <v>4</v>
      </c>
      <c r="P24" s="6">
        <v>0</v>
      </c>
      <c r="Q24" s="6" t="s">
        <v>103</v>
      </c>
    </row>
    <row r="25" spans="1:17" ht="69.95" customHeight="1" x14ac:dyDescent="0.3">
      <c r="A25" s="6">
        <v>75290</v>
      </c>
      <c r="B25" s="6">
        <v>93705</v>
      </c>
      <c r="C25" s="6" t="s">
        <v>17</v>
      </c>
      <c r="D25" s="6" t="s">
        <v>65</v>
      </c>
      <c r="E25" s="6" t="s">
        <v>91</v>
      </c>
      <c r="F25" s="6" t="s">
        <v>87</v>
      </c>
      <c r="G25" s="6" t="s">
        <v>104</v>
      </c>
      <c r="H25" s="6" t="s">
        <v>105</v>
      </c>
      <c r="I25" s="7"/>
      <c r="J25" s="8" t="s">
        <v>57</v>
      </c>
      <c r="K25" s="9">
        <v>9006</v>
      </c>
      <c r="L25" s="10">
        <v>0.13</v>
      </c>
      <c r="M25" s="11">
        <f t="shared" si="0"/>
        <v>7835.22</v>
      </c>
      <c r="N25" s="12"/>
      <c r="O25" s="6">
        <v>5</v>
      </c>
      <c r="P25" s="6">
        <v>0</v>
      </c>
      <c r="Q25" s="6" t="s">
        <v>106</v>
      </c>
    </row>
    <row r="26" spans="1:17" ht="69.95" customHeight="1" x14ac:dyDescent="0.3">
      <c r="A26" s="6">
        <v>72912</v>
      </c>
      <c r="B26" s="6">
        <v>114822</v>
      </c>
      <c r="C26" s="6" t="s">
        <v>17</v>
      </c>
      <c r="D26" s="6" t="s">
        <v>65</v>
      </c>
      <c r="E26" s="6" t="s">
        <v>91</v>
      </c>
      <c r="F26" s="6" t="s">
        <v>107</v>
      </c>
      <c r="G26" s="6" t="s">
        <v>108</v>
      </c>
      <c r="H26" s="6" t="s">
        <v>109</v>
      </c>
      <c r="I26" s="7"/>
      <c r="J26" s="8" t="s">
        <v>57</v>
      </c>
      <c r="K26" s="9">
        <v>12324</v>
      </c>
      <c r="L26" s="10">
        <v>0.13</v>
      </c>
      <c r="M26" s="11">
        <f t="shared" si="0"/>
        <v>10721.88</v>
      </c>
      <c r="N26" s="12"/>
      <c r="O26" s="6">
        <v>1</v>
      </c>
      <c r="P26" s="6">
        <v>37</v>
      </c>
      <c r="Q26" s="6" t="s">
        <v>110</v>
      </c>
    </row>
    <row r="27" spans="1:17" ht="69.95" customHeight="1" x14ac:dyDescent="0.3">
      <c r="A27" s="6">
        <v>75904</v>
      </c>
      <c r="B27" s="6">
        <v>94801</v>
      </c>
      <c r="C27" s="6" t="s">
        <v>17</v>
      </c>
      <c r="D27" s="6" t="s">
        <v>58</v>
      </c>
      <c r="E27" s="6" t="s">
        <v>91</v>
      </c>
      <c r="F27" s="6" t="s">
        <v>59</v>
      </c>
      <c r="G27" s="6" t="s">
        <v>111</v>
      </c>
      <c r="H27" s="6" t="s">
        <v>112</v>
      </c>
      <c r="I27" s="7"/>
      <c r="J27" s="8" t="s">
        <v>57</v>
      </c>
      <c r="K27" s="9">
        <v>15203</v>
      </c>
      <c r="L27" s="10">
        <v>0.13</v>
      </c>
      <c r="M27" s="11">
        <f t="shared" si="0"/>
        <v>13226.61</v>
      </c>
      <c r="N27" s="12"/>
      <c r="O27" s="6">
        <v>2</v>
      </c>
      <c r="P27" s="6">
        <v>0</v>
      </c>
      <c r="Q27" s="6" t="s">
        <v>113</v>
      </c>
    </row>
    <row r="28" spans="1:17" ht="69.95" customHeight="1" x14ac:dyDescent="0.3">
      <c r="A28" s="6">
        <v>79410</v>
      </c>
      <c r="B28" s="6">
        <v>93662</v>
      </c>
      <c r="C28" s="6" t="s">
        <v>17</v>
      </c>
      <c r="D28" s="6" t="s">
        <v>65</v>
      </c>
      <c r="E28" s="6" t="s">
        <v>91</v>
      </c>
      <c r="F28" s="6" t="s">
        <v>87</v>
      </c>
      <c r="G28" s="6" t="s">
        <v>114</v>
      </c>
      <c r="H28" s="6" t="s">
        <v>115</v>
      </c>
      <c r="I28" s="7"/>
      <c r="J28" s="8" t="s">
        <v>57</v>
      </c>
      <c r="K28" s="9">
        <v>15404</v>
      </c>
      <c r="L28" s="10">
        <v>0.13</v>
      </c>
      <c r="M28" s="11">
        <f t="shared" si="0"/>
        <v>13401.48</v>
      </c>
      <c r="N28" s="12"/>
      <c r="O28" s="6">
        <v>2</v>
      </c>
      <c r="P28" s="6">
        <v>0</v>
      </c>
      <c r="Q28" s="6" t="s">
        <v>116</v>
      </c>
    </row>
    <row r="29" spans="1:17" ht="69.95" customHeight="1" x14ac:dyDescent="0.3">
      <c r="A29" s="6">
        <v>85164</v>
      </c>
      <c r="B29" s="6">
        <v>102075</v>
      </c>
      <c r="C29" s="6" t="s">
        <v>17</v>
      </c>
      <c r="D29" s="6" t="s">
        <v>65</v>
      </c>
      <c r="E29" s="6" t="s">
        <v>91</v>
      </c>
      <c r="F29" s="6" t="s">
        <v>117</v>
      </c>
      <c r="G29" s="6" t="s">
        <v>118</v>
      </c>
      <c r="H29" s="6" t="s">
        <v>119</v>
      </c>
      <c r="I29" s="7"/>
      <c r="J29" s="8" t="s">
        <v>57</v>
      </c>
      <c r="K29" s="9">
        <v>15946</v>
      </c>
      <c r="L29" s="10">
        <v>0.13</v>
      </c>
      <c r="M29" s="11">
        <f t="shared" si="0"/>
        <v>13873.02</v>
      </c>
      <c r="N29" s="12"/>
      <c r="O29" s="6">
        <v>2</v>
      </c>
      <c r="P29" s="6">
        <v>0</v>
      </c>
      <c r="Q29" s="6" t="s">
        <v>120</v>
      </c>
    </row>
    <row r="30" spans="1:17" ht="69.95" customHeight="1" x14ac:dyDescent="0.3">
      <c r="A30" s="6">
        <v>86530</v>
      </c>
      <c r="B30" s="6">
        <v>102967</v>
      </c>
      <c r="C30" s="6" t="s">
        <v>17</v>
      </c>
      <c r="D30" s="6" t="s">
        <v>65</v>
      </c>
      <c r="E30" s="6" t="s">
        <v>91</v>
      </c>
      <c r="F30" s="6" t="s">
        <v>121</v>
      </c>
      <c r="G30" s="6" t="s">
        <v>122</v>
      </c>
      <c r="H30" s="6" t="s">
        <v>123</v>
      </c>
      <c r="I30" s="7"/>
      <c r="J30" s="8" t="s">
        <v>57</v>
      </c>
      <c r="K30" s="9">
        <v>23658</v>
      </c>
      <c r="L30" s="10">
        <v>0.13</v>
      </c>
      <c r="M30" s="11">
        <f t="shared" si="0"/>
        <v>20582.46</v>
      </c>
      <c r="N30" s="12"/>
      <c r="O30" s="6">
        <v>17</v>
      </c>
      <c r="P30" s="6">
        <v>0</v>
      </c>
      <c r="Q30" s="6" t="s">
        <v>124</v>
      </c>
    </row>
    <row r="31" spans="1:17" ht="69.95" customHeight="1" x14ac:dyDescent="0.3">
      <c r="A31" s="6">
        <v>75324</v>
      </c>
      <c r="B31" s="6">
        <v>114438</v>
      </c>
      <c r="C31" s="6" t="s">
        <v>17</v>
      </c>
      <c r="D31" s="6" t="s">
        <v>65</v>
      </c>
      <c r="E31" s="6" t="s">
        <v>91</v>
      </c>
      <c r="F31" s="6" t="s">
        <v>107</v>
      </c>
      <c r="G31" s="6" t="s">
        <v>125</v>
      </c>
      <c r="H31" s="6" t="s">
        <v>126</v>
      </c>
      <c r="I31" s="7"/>
      <c r="J31" s="8" t="s">
        <v>57</v>
      </c>
      <c r="K31" s="9">
        <v>49564</v>
      </c>
      <c r="L31" s="10">
        <v>0.13</v>
      </c>
      <c r="M31" s="11">
        <f t="shared" si="0"/>
        <v>43120.68</v>
      </c>
      <c r="N31" s="12"/>
      <c r="O31" s="6">
        <v>6</v>
      </c>
      <c r="P31" s="6">
        <v>132</v>
      </c>
      <c r="Q31" s="6" t="s">
        <v>127</v>
      </c>
    </row>
    <row r="32" spans="1:17" ht="69.95" customHeight="1" x14ac:dyDescent="0.3">
      <c r="A32" s="6">
        <v>86191</v>
      </c>
      <c r="B32" s="6">
        <v>102486</v>
      </c>
      <c r="C32" s="6" t="s">
        <v>17</v>
      </c>
      <c r="D32" s="6" t="s">
        <v>65</v>
      </c>
      <c r="E32" s="6" t="s">
        <v>91</v>
      </c>
      <c r="F32" s="6" t="s">
        <v>128</v>
      </c>
      <c r="G32" s="6" t="s">
        <v>129</v>
      </c>
      <c r="H32" s="6" t="s">
        <v>130</v>
      </c>
      <c r="I32" s="7"/>
      <c r="J32" s="8" t="s">
        <v>85</v>
      </c>
      <c r="K32" s="9">
        <v>9971</v>
      </c>
      <c r="L32" s="10">
        <v>0.13</v>
      </c>
      <c r="M32" s="11">
        <f t="shared" si="0"/>
        <v>8674.77</v>
      </c>
      <c r="N32" s="12"/>
      <c r="O32" s="6">
        <v>3</v>
      </c>
      <c r="P32" s="6">
        <v>0</v>
      </c>
      <c r="Q32" s="6" t="s">
        <v>131</v>
      </c>
    </row>
    <row r="33" spans="1:17" ht="69.95" customHeight="1" x14ac:dyDescent="0.3">
      <c r="A33" s="6">
        <v>87785</v>
      </c>
      <c r="B33" s="6">
        <v>104652</v>
      </c>
      <c r="C33" s="6" t="s">
        <v>17</v>
      </c>
      <c r="D33" s="6" t="s">
        <v>65</v>
      </c>
      <c r="E33" s="6" t="s">
        <v>91</v>
      </c>
      <c r="F33" s="6" t="s">
        <v>87</v>
      </c>
      <c r="G33" s="6" t="s">
        <v>132</v>
      </c>
      <c r="H33" s="6" t="s">
        <v>133</v>
      </c>
      <c r="I33" s="7"/>
      <c r="J33" s="8" t="s">
        <v>85</v>
      </c>
      <c r="K33" s="9">
        <v>15192</v>
      </c>
      <c r="L33" s="10">
        <v>0.13</v>
      </c>
      <c r="M33" s="11">
        <f t="shared" si="0"/>
        <v>13217.039999999999</v>
      </c>
      <c r="N33" s="12"/>
      <c r="O33" s="6">
        <v>29</v>
      </c>
      <c r="P33" s="6">
        <v>0</v>
      </c>
      <c r="Q33" s="6" t="s">
        <v>134</v>
      </c>
    </row>
    <row r="34" spans="1:17" ht="69.95" customHeight="1" x14ac:dyDescent="0.3">
      <c r="A34" s="6">
        <v>78063</v>
      </c>
      <c r="B34" s="6">
        <v>108871</v>
      </c>
      <c r="C34" s="6" t="s">
        <v>17</v>
      </c>
      <c r="D34" s="6" t="s">
        <v>25</v>
      </c>
      <c r="E34" s="6" t="s">
        <v>135</v>
      </c>
      <c r="F34" s="6" t="s">
        <v>136</v>
      </c>
      <c r="G34" s="6" t="s">
        <v>137</v>
      </c>
      <c r="H34" s="6" t="s">
        <v>138</v>
      </c>
      <c r="I34" s="7"/>
      <c r="J34" s="8" t="s">
        <v>57</v>
      </c>
      <c r="K34" s="9">
        <v>3388</v>
      </c>
      <c r="L34" s="10">
        <v>0.13</v>
      </c>
      <c r="M34" s="11">
        <f t="shared" si="0"/>
        <v>2947.56</v>
      </c>
      <c r="N34" s="12"/>
      <c r="O34" s="6">
        <v>23</v>
      </c>
      <c r="P34" s="6">
        <v>600</v>
      </c>
      <c r="Q34" s="6" t="s">
        <v>139</v>
      </c>
    </row>
    <row r="35" spans="1:17" ht="69.95" customHeight="1" x14ac:dyDescent="0.3">
      <c r="A35" s="6">
        <v>86937</v>
      </c>
      <c r="B35" s="6">
        <v>108876</v>
      </c>
      <c r="C35" s="6" t="s">
        <v>17</v>
      </c>
      <c r="D35" s="6" t="s">
        <v>25</v>
      </c>
      <c r="E35" s="6" t="s">
        <v>135</v>
      </c>
      <c r="F35" s="6" t="s">
        <v>136</v>
      </c>
      <c r="G35" s="6" t="s">
        <v>140</v>
      </c>
      <c r="H35" s="6" t="s">
        <v>141</v>
      </c>
      <c r="I35" s="7"/>
      <c r="J35" s="8" t="s">
        <v>57</v>
      </c>
      <c r="K35" s="9">
        <v>3688</v>
      </c>
      <c r="L35" s="10">
        <v>0.13</v>
      </c>
      <c r="M35" s="11">
        <f t="shared" si="0"/>
        <v>3208.56</v>
      </c>
      <c r="N35" s="12"/>
      <c r="O35" s="6">
        <v>66</v>
      </c>
      <c r="P35" s="6">
        <v>403</v>
      </c>
      <c r="Q35" s="6" t="s">
        <v>139</v>
      </c>
    </row>
    <row r="36" spans="1:17" ht="69.95" customHeight="1" x14ac:dyDescent="0.3">
      <c r="A36" s="6">
        <v>96954</v>
      </c>
      <c r="B36" s="6">
        <v>114999</v>
      </c>
      <c r="C36" s="6" t="s">
        <v>17</v>
      </c>
      <c r="D36" s="6" t="s">
        <v>25</v>
      </c>
      <c r="E36" s="6" t="s">
        <v>135</v>
      </c>
      <c r="F36" s="6" t="s">
        <v>136</v>
      </c>
      <c r="G36" s="6" t="s">
        <v>142</v>
      </c>
      <c r="H36" s="6" t="s">
        <v>143</v>
      </c>
      <c r="I36" s="7"/>
      <c r="J36" s="8" t="s">
        <v>57</v>
      </c>
      <c r="K36" s="9">
        <v>5780</v>
      </c>
      <c r="L36" s="10">
        <v>0.13</v>
      </c>
      <c r="M36" s="11">
        <f t="shared" si="0"/>
        <v>5028.6000000000004</v>
      </c>
      <c r="N36" s="12"/>
      <c r="O36" s="6">
        <v>0</v>
      </c>
      <c r="P36" s="6">
        <v>7</v>
      </c>
      <c r="Q36" s="6" t="s">
        <v>64</v>
      </c>
    </row>
    <row r="37" spans="1:17" ht="69.95" customHeight="1" x14ac:dyDescent="0.3">
      <c r="A37" s="6">
        <v>85912</v>
      </c>
      <c r="B37" s="6">
        <v>103084</v>
      </c>
      <c r="C37" s="6" t="s">
        <v>17</v>
      </c>
      <c r="D37" s="6" t="s">
        <v>25</v>
      </c>
      <c r="E37" s="6" t="s">
        <v>135</v>
      </c>
      <c r="F37" s="6" t="s">
        <v>136</v>
      </c>
      <c r="G37" s="6" t="s">
        <v>144</v>
      </c>
      <c r="H37" s="6" t="s">
        <v>145</v>
      </c>
      <c r="I37" s="7"/>
      <c r="J37" s="8" t="s">
        <v>85</v>
      </c>
      <c r="K37" s="9">
        <v>6591</v>
      </c>
      <c r="L37" s="10">
        <v>0.13</v>
      </c>
      <c r="M37" s="11">
        <f t="shared" si="0"/>
        <v>5734.17</v>
      </c>
      <c r="N37" s="12"/>
      <c r="O37" s="6">
        <v>16</v>
      </c>
      <c r="P37" s="6">
        <v>1363</v>
      </c>
      <c r="Q37" s="6" t="s">
        <v>146</v>
      </c>
    </row>
    <row r="38" spans="1:17" ht="69.95" customHeight="1" x14ac:dyDescent="0.3">
      <c r="A38" s="6">
        <v>96986</v>
      </c>
      <c r="B38" s="6">
        <v>115035</v>
      </c>
      <c r="C38" s="6" t="s">
        <v>17</v>
      </c>
      <c r="D38" s="6" t="s">
        <v>25</v>
      </c>
      <c r="E38" s="6" t="s">
        <v>135</v>
      </c>
      <c r="F38" s="6" t="s">
        <v>136</v>
      </c>
      <c r="G38" s="6" t="s">
        <v>147</v>
      </c>
      <c r="H38" s="6" t="s">
        <v>145</v>
      </c>
      <c r="I38" s="7"/>
      <c r="J38" s="8" t="s">
        <v>85</v>
      </c>
      <c r="K38" s="9">
        <v>7040</v>
      </c>
      <c r="L38" s="10">
        <v>0.13</v>
      </c>
      <c r="M38" s="11">
        <f t="shared" si="0"/>
        <v>6124.8</v>
      </c>
      <c r="N38" s="12"/>
      <c r="O38" s="6">
        <v>0</v>
      </c>
      <c r="P38" s="6">
        <v>22</v>
      </c>
      <c r="Q38" s="6" t="s">
        <v>64</v>
      </c>
    </row>
    <row r="39" spans="1:17" ht="69.95" customHeight="1" x14ac:dyDescent="0.3">
      <c r="A39" s="6">
        <v>91972</v>
      </c>
      <c r="B39" s="6">
        <v>110161</v>
      </c>
      <c r="C39" s="6" t="s">
        <v>17</v>
      </c>
      <c r="D39" s="6" t="s">
        <v>148</v>
      </c>
      <c r="E39" s="6" t="s">
        <v>149</v>
      </c>
      <c r="F39" s="6" t="s">
        <v>150</v>
      </c>
      <c r="G39" s="6" t="s">
        <v>151</v>
      </c>
      <c r="H39" s="6" t="s">
        <v>152</v>
      </c>
      <c r="I39" s="7"/>
      <c r="J39" s="8" t="s">
        <v>85</v>
      </c>
      <c r="K39" s="9">
        <v>2151</v>
      </c>
      <c r="L39" s="10">
        <v>0.13</v>
      </c>
      <c r="M39" s="11">
        <f t="shared" si="0"/>
        <v>1871.37</v>
      </c>
      <c r="N39" s="12"/>
      <c r="O39" s="6">
        <v>5</v>
      </c>
      <c r="P39" s="6">
        <v>6</v>
      </c>
      <c r="Q39" s="6" t="s">
        <v>64</v>
      </c>
    </row>
    <row r="40" spans="1:17" ht="69.95" customHeight="1" x14ac:dyDescent="0.3">
      <c r="A40" s="6">
        <v>91973</v>
      </c>
      <c r="B40" s="6">
        <v>110162</v>
      </c>
      <c r="C40" s="6" t="s">
        <v>17</v>
      </c>
      <c r="D40" s="6" t="s">
        <v>153</v>
      </c>
      <c r="E40" s="6" t="s">
        <v>149</v>
      </c>
      <c r="F40" s="6" t="s">
        <v>154</v>
      </c>
      <c r="G40" s="6" t="s">
        <v>155</v>
      </c>
      <c r="H40" s="6" t="s">
        <v>156</v>
      </c>
      <c r="I40" s="7"/>
      <c r="J40" s="8" t="s">
        <v>85</v>
      </c>
      <c r="K40" s="9">
        <v>2368</v>
      </c>
      <c r="L40" s="10">
        <v>0.13</v>
      </c>
      <c r="M40" s="11">
        <f t="shared" si="0"/>
        <v>2060.16</v>
      </c>
      <c r="N40" s="12"/>
      <c r="O40" s="6">
        <v>0</v>
      </c>
      <c r="P40" s="6">
        <v>2</v>
      </c>
      <c r="Q40" s="6" t="s">
        <v>64</v>
      </c>
    </row>
    <row r="41" spans="1:17" ht="69.95" customHeight="1" x14ac:dyDescent="0.3">
      <c r="A41" s="6">
        <v>86873</v>
      </c>
      <c r="B41" s="6">
        <v>108849</v>
      </c>
      <c r="C41" s="6" t="s">
        <v>17</v>
      </c>
      <c r="D41" s="6" t="s">
        <v>65</v>
      </c>
      <c r="E41" s="6" t="s">
        <v>157</v>
      </c>
      <c r="F41" s="6" t="s">
        <v>87</v>
      </c>
      <c r="G41" s="6" t="s">
        <v>158</v>
      </c>
      <c r="H41" s="6" t="s">
        <v>159</v>
      </c>
      <c r="I41" s="7"/>
      <c r="J41" s="8" t="s">
        <v>57</v>
      </c>
      <c r="K41" s="9">
        <v>1814</v>
      </c>
      <c r="L41" s="10">
        <v>0.13</v>
      </c>
      <c r="M41" s="11">
        <f t="shared" si="0"/>
        <v>1578.18</v>
      </c>
      <c r="N41" s="12"/>
      <c r="O41" s="6">
        <v>14</v>
      </c>
      <c r="P41" s="6">
        <v>368</v>
      </c>
      <c r="Q41" s="6" t="s">
        <v>160</v>
      </c>
    </row>
    <row r="42" spans="1:17" ht="69.95" customHeight="1" x14ac:dyDescent="0.3">
      <c r="A42" s="6">
        <v>86867</v>
      </c>
      <c r="B42" s="6">
        <v>108850</v>
      </c>
      <c r="C42" s="6" t="s">
        <v>17</v>
      </c>
      <c r="D42" s="6" t="s">
        <v>65</v>
      </c>
      <c r="E42" s="6" t="s">
        <v>157</v>
      </c>
      <c r="F42" s="6" t="s">
        <v>87</v>
      </c>
      <c r="G42" s="6" t="s">
        <v>161</v>
      </c>
      <c r="H42" s="6" t="s">
        <v>162</v>
      </c>
      <c r="I42" s="7"/>
      <c r="J42" s="8" t="s">
        <v>57</v>
      </c>
      <c r="K42" s="9">
        <v>1937</v>
      </c>
      <c r="L42" s="10">
        <v>0.13</v>
      </c>
      <c r="M42" s="11">
        <f t="shared" si="0"/>
        <v>1685.19</v>
      </c>
      <c r="N42" s="12"/>
      <c r="O42" s="6">
        <v>9</v>
      </c>
      <c r="P42" s="6">
        <v>439</v>
      </c>
      <c r="Q42" s="6" t="s">
        <v>163</v>
      </c>
    </row>
    <row r="43" spans="1:17" ht="69.95" customHeight="1" x14ac:dyDescent="0.3">
      <c r="A43" s="6">
        <v>78067</v>
      </c>
      <c r="B43" s="6">
        <v>104386</v>
      </c>
      <c r="C43" s="6" t="s">
        <v>17</v>
      </c>
      <c r="D43" s="6" t="s">
        <v>164</v>
      </c>
      <c r="E43" s="6" t="s">
        <v>165</v>
      </c>
      <c r="F43" s="6" t="s">
        <v>166</v>
      </c>
      <c r="G43" s="6" t="s">
        <v>167</v>
      </c>
      <c r="H43" s="6" t="s">
        <v>168</v>
      </c>
      <c r="I43" s="7"/>
      <c r="J43" s="8" t="s">
        <v>57</v>
      </c>
      <c r="K43" s="9">
        <v>2072</v>
      </c>
      <c r="L43" s="10">
        <v>0.13</v>
      </c>
      <c r="M43" s="11">
        <f t="shared" si="0"/>
        <v>1802.64</v>
      </c>
      <c r="N43" s="12"/>
      <c r="O43" s="6">
        <v>4</v>
      </c>
      <c r="P43" s="6">
        <v>6</v>
      </c>
      <c r="Q43" s="6" t="s">
        <v>169</v>
      </c>
    </row>
    <row r="44" spans="1:17" ht="69.95" customHeight="1" x14ac:dyDescent="0.3">
      <c r="A44" s="6">
        <v>83238</v>
      </c>
      <c r="B44" s="6">
        <v>105932</v>
      </c>
      <c r="C44" s="6" t="s">
        <v>17</v>
      </c>
      <c r="D44" s="6" t="s">
        <v>164</v>
      </c>
      <c r="E44" s="6" t="s">
        <v>165</v>
      </c>
      <c r="F44" s="6" t="s">
        <v>166</v>
      </c>
      <c r="G44" s="6" t="s">
        <v>170</v>
      </c>
      <c r="H44" s="6" t="s">
        <v>171</v>
      </c>
      <c r="I44" s="7"/>
      <c r="J44" s="8" t="s">
        <v>57</v>
      </c>
      <c r="K44" s="9">
        <v>2072</v>
      </c>
      <c r="L44" s="10">
        <v>0.13</v>
      </c>
      <c r="M44" s="11">
        <f t="shared" si="0"/>
        <v>1802.64</v>
      </c>
      <c r="N44" s="12"/>
      <c r="O44" s="6">
        <v>656</v>
      </c>
      <c r="P44" s="6">
        <v>0</v>
      </c>
      <c r="Q44" s="6" t="s">
        <v>172</v>
      </c>
    </row>
    <row r="45" spans="1:17" ht="69.95" customHeight="1" x14ac:dyDescent="0.3">
      <c r="A45" s="6">
        <v>86993</v>
      </c>
      <c r="B45" s="6">
        <v>114651</v>
      </c>
      <c r="C45" s="6" t="s">
        <v>17</v>
      </c>
      <c r="D45" s="6" t="s">
        <v>164</v>
      </c>
      <c r="E45" s="6" t="s">
        <v>165</v>
      </c>
      <c r="F45" s="6" t="s">
        <v>173</v>
      </c>
      <c r="G45" s="6" t="s">
        <v>174</v>
      </c>
      <c r="H45" s="6" t="s">
        <v>175</v>
      </c>
      <c r="I45" s="7"/>
      <c r="J45" s="8" t="s">
        <v>23</v>
      </c>
      <c r="K45" s="9">
        <v>24572</v>
      </c>
      <c r="L45" s="10">
        <v>0.13</v>
      </c>
      <c r="M45" s="11">
        <f t="shared" si="0"/>
        <v>21377.64</v>
      </c>
      <c r="N45" s="12"/>
      <c r="O45" s="6">
        <v>0</v>
      </c>
      <c r="P45" s="6">
        <v>183</v>
      </c>
      <c r="Q45" s="6" t="s">
        <v>176</v>
      </c>
    </row>
    <row r="46" spans="1:17" ht="69.95" customHeight="1" x14ac:dyDescent="0.3">
      <c r="A46" s="6">
        <v>78473</v>
      </c>
      <c r="B46" s="6">
        <v>92507</v>
      </c>
      <c r="C46" s="6" t="s">
        <v>17</v>
      </c>
      <c r="D46" s="6" t="s">
        <v>164</v>
      </c>
      <c r="E46" s="6" t="s">
        <v>165</v>
      </c>
      <c r="F46" s="6" t="s">
        <v>87</v>
      </c>
      <c r="G46" s="6" t="s">
        <v>177</v>
      </c>
      <c r="H46" s="6" t="s">
        <v>178</v>
      </c>
      <c r="I46" s="7"/>
      <c r="J46" s="8" t="s">
        <v>23</v>
      </c>
      <c r="K46" s="9">
        <v>26407</v>
      </c>
      <c r="L46" s="10">
        <v>0.13</v>
      </c>
      <c r="M46" s="11">
        <f t="shared" si="0"/>
        <v>22974.09</v>
      </c>
      <c r="N46" s="12"/>
      <c r="O46" s="6">
        <v>0</v>
      </c>
      <c r="P46" s="6">
        <v>28</v>
      </c>
      <c r="Q46" s="6" t="s">
        <v>179</v>
      </c>
    </row>
    <row r="47" spans="1:17" x14ac:dyDescent="0.3">
      <c r="A47"/>
      <c r="B47"/>
      <c r="C47"/>
      <c r="D47"/>
      <c r="E47"/>
      <c r="F47"/>
      <c r="G47"/>
      <c r="H47"/>
      <c r="I47"/>
      <c r="J47"/>
      <c r="K47"/>
      <c r="L47" s="14"/>
      <c r="M47"/>
      <c r="N47"/>
      <c r="O47"/>
      <c r="P47"/>
      <c r="Q47"/>
    </row>
    <row r="48" spans="1:17" x14ac:dyDescent="0.3">
      <c r="A48"/>
      <c r="B48"/>
      <c r="C48"/>
      <c r="D48"/>
      <c r="E48"/>
      <c r="F48"/>
      <c r="G48"/>
      <c r="H48"/>
      <c r="I48"/>
      <c r="J48"/>
      <c r="K48"/>
      <c r="L48" s="14"/>
      <c r="M48"/>
      <c r="N48"/>
      <c r="O48"/>
      <c r="P48"/>
      <c r="Q48"/>
    </row>
    <row r="49" spans="1:17" x14ac:dyDescent="0.3">
      <c r="A49"/>
      <c r="B49"/>
      <c r="C49"/>
      <c r="D49"/>
      <c r="E49"/>
      <c r="F49"/>
      <c r="G49"/>
      <c r="H49"/>
      <c r="I49"/>
      <c r="J49"/>
      <c r="K49"/>
      <c r="L49" s="14"/>
      <c r="M49"/>
      <c r="N49"/>
      <c r="O49"/>
      <c r="P49"/>
      <c r="Q49"/>
    </row>
    <row r="50" spans="1:17" x14ac:dyDescent="0.3">
      <c r="A50"/>
      <c r="B50"/>
      <c r="C50"/>
      <c r="D50"/>
      <c r="E50"/>
      <c r="F50"/>
      <c r="G50"/>
      <c r="H50"/>
      <c r="I50"/>
      <c r="J50"/>
      <c r="K50"/>
      <c r="L50" s="14"/>
      <c r="M50"/>
      <c r="N50"/>
      <c r="O50"/>
      <c r="P50"/>
      <c r="Q50"/>
    </row>
    <row r="51" spans="1:17" x14ac:dyDescent="0.3">
      <c r="A51"/>
      <c r="B51"/>
      <c r="C51"/>
      <c r="D51"/>
      <c r="E51"/>
      <c r="F51"/>
      <c r="G51"/>
      <c r="H51"/>
      <c r="I51"/>
      <c r="J51"/>
      <c r="K51"/>
      <c r="L51" s="14"/>
      <c r="M51"/>
      <c r="N51"/>
      <c r="O51"/>
      <c r="P51"/>
      <c r="Q51"/>
    </row>
    <row r="52" spans="1:17" x14ac:dyDescent="0.3">
      <c r="A52"/>
      <c r="B52"/>
      <c r="C52"/>
      <c r="D52"/>
      <c r="E52"/>
      <c r="F52"/>
      <c r="G52"/>
      <c r="H52"/>
      <c r="I52"/>
      <c r="J52"/>
      <c r="K52"/>
      <c r="L52" s="14"/>
      <c r="M52"/>
      <c r="N52"/>
      <c r="O52"/>
      <c r="P52"/>
      <c r="Q52"/>
    </row>
    <row r="53" spans="1:17" x14ac:dyDescent="0.3">
      <c r="A53"/>
      <c r="B53"/>
      <c r="C53"/>
      <c r="D53"/>
      <c r="E53"/>
      <c r="F53"/>
      <c r="G53"/>
      <c r="H53"/>
      <c r="I53"/>
      <c r="J53"/>
      <c r="K53"/>
      <c r="L53" s="14"/>
      <c r="M53"/>
      <c r="N53"/>
      <c r="O53"/>
      <c r="P53"/>
      <c r="Q53"/>
    </row>
  </sheetData>
  <autoFilter ref="A1:Q5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Орлов Дмитрий Олегович</dc:creator>
  <cp:lastModifiedBy>Орлов Дмитрий Олегович</cp:lastModifiedBy>
  <dcterms:created xsi:type="dcterms:W3CDTF">2026-02-19T09:48:10Z</dcterms:created>
  <dcterms:modified xsi:type="dcterms:W3CDTF">2026-02-19T09:49:08Z</dcterms:modified>
</cp:coreProperties>
</file>